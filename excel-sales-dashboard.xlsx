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ishu\Desktop\"/>
    </mc:Choice>
  </mc:AlternateContent>
  <xr:revisionPtr revIDLastSave="0" documentId="8_{E8445F3A-55EE-428A-A930-BDF95A97AB49}" xr6:coauthVersionLast="47" xr6:coauthVersionMax="47" xr10:uidLastSave="{00000000-0000-0000-0000-000000000000}"/>
  <bookViews>
    <workbookView xWindow="-120" yWindow="-120" windowWidth="29040" windowHeight="15840" activeTab="4" xr2:uid="{346724B3-1C49-40AE-AA36-C77CF5D6DD09}"/>
  </bookViews>
  <sheets>
    <sheet name="Data" sheetId="1" r:id="rId1"/>
    <sheet name="Questions &amp; KPIs" sheetId="2" r:id="rId2"/>
    <sheet name="pivots" sheetId="5" r:id="rId3"/>
    <sheet name="pivots1" sheetId="7" r:id="rId4"/>
    <sheet name="Dashboard" sheetId="3" r:id="rId5"/>
  </sheets>
  <definedNames>
    <definedName name="_xlchart.v5.0" hidden="1">pivots!$G$77:$H$77</definedName>
    <definedName name="_xlchart.v5.1" hidden="1">pivots!$G$78:$H$135</definedName>
    <definedName name="_xlchart.v5.2" hidden="1">pivots!$I$77</definedName>
    <definedName name="_xlchart.v5.3" hidden="1">pivots!$I$78:$I$135</definedName>
    <definedName name="_xlchart.v5.4" hidden="1">pivots!$G$77:$H$77</definedName>
    <definedName name="_xlchart.v5.5" hidden="1">pivots!$G$78:$H$135</definedName>
    <definedName name="_xlchart.v5.6" hidden="1">pivots!$I$77</definedName>
    <definedName name="_xlchart.v5.7" hidden="1">pivots!$I$78:$I$135</definedName>
    <definedName name="Slicer_Gender_Value">#N/A</definedName>
    <definedName name="Slicer_Order_Mode">#N/A</definedName>
  </definedNames>
  <calcPr calcId="191029"/>
  <pivotCaches>
    <pivotCache cacheId="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7" l="1"/>
  <c r="J4" i="7"/>
  <c r="K4" i="7"/>
  <c r="L4" i="7"/>
  <c r="H5" i="7"/>
  <c r="I5" i="7"/>
  <c r="J5" i="7"/>
  <c r="K5" i="7"/>
  <c r="L5" i="7"/>
  <c r="H6" i="7"/>
  <c r="I6" i="7"/>
  <c r="J6" i="7"/>
  <c r="K6" i="7"/>
  <c r="L6" i="7"/>
  <c r="H7" i="7"/>
  <c r="I7" i="7"/>
  <c r="J7" i="7"/>
  <c r="K7" i="7"/>
  <c r="L7" i="7"/>
  <c r="H8" i="7"/>
  <c r="I8" i="7"/>
  <c r="J8" i="7"/>
  <c r="K8" i="7"/>
  <c r="L8" i="7"/>
  <c r="H9" i="7"/>
  <c r="I9" i="7"/>
  <c r="J9" i="7"/>
  <c r="K9" i="7"/>
  <c r="L9" i="7"/>
  <c r="G79" i="5"/>
  <c r="H79" i="5"/>
  <c r="I79" i="5"/>
  <c r="G80" i="5"/>
  <c r="H80" i="5"/>
  <c r="I80" i="5"/>
  <c r="G81" i="5"/>
  <c r="H81" i="5"/>
  <c r="I81" i="5"/>
  <c r="G82" i="5"/>
  <c r="H82" i="5"/>
  <c r="I82" i="5"/>
  <c r="G83" i="5"/>
  <c r="H83" i="5"/>
  <c r="I83" i="5"/>
  <c r="G84" i="5"/>
  <c r="H84" i="5"/>
  <c r="I84" i="5"/>
  <c r="G85" i="5"/>
  <c r="H85" i="5"/>
  <c r="I85" i="5"/>
  <c r="G86" i="5"/>
  <c r="H86" i="5"/>
  <c r="I86" i="5"/>
  <c r="G87" i="5"/>
  <c r="H87" i="5"/>
  <c r="I87" i="5"/>
  <c r="G88" i="5"/>
  <c r="H88" i="5"/>
  <c r="I88" i="5"/>
  <c r="G89" i="5"/>
  <c r="H89" i="5"/>
  <c r="I89" i="5"/>
  <c r="G90" i="5"/>
  <c r="H90" i="5"/>
  <c r="I90" i="5"/>
  <c r="G91" i="5"/>
  <c r="H91" i="5"/>
  <c r="I91" i="5"/>
  <c r="G92" i="5"/>
  <c r="H92" i="5"/>
  <c r="I92" i="5"/>
  <c r="G93" i="5"/>
  <c r="H93" i="5"/>
  <c r="I93" i="5"/>
  <c r="G94" i="5"/>
  <c r="H94" i="5"/>
  <c r="I94" i="5"/>
  <c r="G95" i="5"/>
  <c r="H95" i="5"/>
  <c r="I95" i="5"/>
  <c r="G96" i="5"/>
  <c r="H96" i="5"/>
  <c r="I96" i="5"/>
  <c r="G97" i="5"/>
  <c r="H97" i="5"/>
  <c r="I97" i="5"/>
  <c r="G98" i="5"/>
  <c r="H98" i="5"/>
  <c r="I98" i="5"/>
  <c r="G99" i="5"/>
  <c r="H99" i="5"/>
  <c r="I99" i="5"/>
  <c r="G100" i="5"/>
  <c r="H100" i="5"/>
  <c r="I100" i="5"/>
  <c r="G101" i="5"/>
  <c r="H101" i="5"/>
  <c r="I101" i="5"/>
  <c r="G102" i="5"/>
  <c r="H102" i="5"/>
  <c r="I102" i="5"/>
  <c r="G103" i="5"/>
  <c r="H103" i="5"/>
  <c r="I103" i="5"/>
  <c r="G104" i="5"/>
  <c r="H104" i="5"/>
  <c r="I104" i="5"/>
  <c r="G105" i="5"/>
  <c r="H105" i="5"/>
  <c r="I105" i="5"/>
  <c r="G106" i="5"/>
  <c r="H106" i="5"/>
  <c r="I106" i="5"/>
  <c r="G107" i="5"/>
  <c r="H107" i="5"/>
  <c r="I107" i="5"/>
  <c r="G108" i="5"/>
  <c r="H108" i="5"/>
  <c r="I108" i="5"/>
  <c r="G109" i="5"/>
  <c r="H109" i="5"/>
  <c r="I109" i="5"/>
  <c r="G110" i="5"/>
  <c r="H110" i="5"/>
  <c r="I110" i="5"/>
  <c r="G111" i="5"/>
  <c r="H111" i="5"/>
  <c r="I111" i="5"/>
  <c r="G112" i="5"/>
  <c r="H112" i="5"/>
  <c r="I112" i="5"/>
  <c r="G113" i="5"/>
  <c r="H113" i="5"/>
  <c r="I113" i="5"/>
  <c r="G114" i="5"/>
  <c r="H114" i="5"/>
  <c r="I114" i="5"/>
  <c r="G115" i="5"/>
  <c r="H115" i="5"/>
  <c r="I115" i="5"/>
  <c r="G116" i="5"/>
  <c r="H116" i="5"/>
  <c r="I116" i="5"/>
  <c r="G117" i="5"/>
  <c r="H117" i="5"/>
  <c r="I117" i="5"/>
  <c r="G118" i="5"/>
  <c r="H118" i="5"/>
  <c r="I118" i="5"/>
  <c r="G119" i="5"/>
  <c r="H119" i="5"/>
  <c r="I119" i="5"/>
  <c r="G120" i="5"/>
  <c r="H120" i="5"/>
  <c r="I120" i="5"/>
  <c r="G121" i="5"/>
  <c r="H121" i="5"/>
  <c r="I121" i="5"/>
  <c r="G122" i="5"/>
  <c r="H122" i="5"/>
  <c r="I122" i="5"/>
  <c r="G123" i="5"/>
  <c r="H123" i="5"/>
  <c r="I123" i="5"/>
  <c r="G124" i="5"/>
  <c r="H124" i="5"/>
  <c r="I124" i="5"/>
  <c r="G125" i="5"/>
  <c r="H125" i="5"/>
  <c r="I125" i="5"/>
  <c r="G126" i="5"/>
  <c r="H126" i="5"/>
  <c r="I126" i="5"/>
  <c r="G127" i="5"/>
  <c r="H127" i="5"/>
  <c r="I127" i="5"/>
  <c r="G128" i="5"/>
  <c r="H128" i="5"/>
  <c r="I128" i="5"/>
  <c r="G129" i="5"/>
  <c r="H129" i="5"/>
  <c r="I129" i="5"/>
  <c r="G130" i="5"/>
  <c r="H130" i="5"/>
  <c r="I130" i="5"/>
  <c r="G131" i="5"/>
  <c r="H131" i="5"/>
  <c r="I131" i="5"/>
  <c r="G132" i="5"/>
  <c r="H132" i="5"/>
  <c r="I132" i="5"/>
  <c r="G133" i="5"/>
  <c r="H133" i="5"/>
  <c r="I133" i="5"/>
  <c r="G134" i="5"/>
  <c r="H134" i="5"/>
  <c r="I134" i="5"/>
  <c r="G135" i="5"/>
  <c r="H135" i="5"/>
  <c r="I135" i="5"/>
  <c r="G136" i="5"/>
  <c r="H136" i="5"/>
  <c r="I136" i="5"/>
  <c r="G137" i="5"/>
  <c r="H137" i="5"/>
  <c r="I137" i="5"/>
  <c r="G138" i="5"/>
  <c r="H138" i="5"/>
  <c r="I138" i="5"/>
  <c r="G139" i="5"/>
  <c r="H139" i="5"/>
  <c r="I139" i="5"/>
  <c r="G140" i="5"/>
  <c r="H140" i="5"/>
  <c r="I140" i="5"/>
  <c r="I78" i="5"/>
  <c r="H78" i="5"/>
  <c r="G78" i="5"/>
  <c r="K4" i="5"/>
  <c r="J4" i="5"/>
  <c r="I4" i="5"/>
  <c r="H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<sst xmlns="http://schemas.openxmlformats.org/spreadsheetml/2006/main" count="14622" uniqueCount="2549">
  <si>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</si>
  <si>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</si>
  <si>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</si>
  <si>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</si>
  <si>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</si>
  <si>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</si>
  <si>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</si>
  <si>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</si>
  <si>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</si>
  <si>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</si>
  <si>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</si>
  <si>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</si>
  <si>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</si>
  <si>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</si>
  <si>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</si>
  <si>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</si>
  <si>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</si>
  <si>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</si>
  <si>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</si>
  <si>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</si>
  <si>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</si>
  <si>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</si>
  <si>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</si>
  <si>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</si>
  <si>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</si>
  <si>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</si>
  <si>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</si>
  <si>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</si>
  <si>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</si>
  <si>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</si>
  <si>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</si>
  <si>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</si>
  <si>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</si>
  <si>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</si>
  <si>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</si>
  <si>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</si>
  <si>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</si>
  <si>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</si>
  <si>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</si>
  <si>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</si>
  <si>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</si>
  <si>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</si>
  <si>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</si>
  <si>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</si>
  <si>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</si>
  <si>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</si>
  <si>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</si>
  <si>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</si>
  <si>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</si>
  <si>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</si>
  <si>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</si>
  <si>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</si>
  <si>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</si>
  <si>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</si>
  <si>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</si>
  <si>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</si>
  <si>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</si>
  <si>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</si>
  <si>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</si>
  <si>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</si>
  <si>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</si>
  <si>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</si>
  <si>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</si>
  <si>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</si>
  <si>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</si>
  <si>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</si>
  <si>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</si>
  <si>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</si>
  <si>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</si>
  <si>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</si>
  <si>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</si>
  <si>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</si>
  <si>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</si>
  <si>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</si>
  <si>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</si>
  <si>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</si>
  <si>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</si>
  <si>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</si>
  <si>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</si>
  <si>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</si>
  <si>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</si>
  <si>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</si>
  <si>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</si>
  <si>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</si>
  <si>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</si>
  <si>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</si>
  <si>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</si>
  <si>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</si>
  <si>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</si>
  <si>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</si>
  <si>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</si>
  <si>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</si>
  <si>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</si>
  <si>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</si>
  <si>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</si>
  <si>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</si>
  <si>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</si>
  <si>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</si>
  <si>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</si>
  <si>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</si>
  <si>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</si>
  <si>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</si>
  <si>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</si>
  <si>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</si>
  <si>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</si>
  <si>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</si>
  <si>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</si>
  <si>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</si>
  <si>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</si>
  <si>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</si>
  <si>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</si>
  <si>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</si>
  <si>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</si>
  <si>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</si>
  <si>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</si>
  <si>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</si>
  <si>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</si>
  <si>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</si>
  <si>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</si>
  <si>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</si>
  <si>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</si>
  <si>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</si>
  <si>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</si>
  <si>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</si>
  <si>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</si>
  <si>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</si>
  <si>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</si>
  <si>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</si>
  <si>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</si>
  <si>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</si>
  <si>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</si>
  <si>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</si>
  <si>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</si>
  <si>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</si>
  <si>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</si>
  <si>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</si>
  <si>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</si>
  <si>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</si>
  <si>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</si>
  <si>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</si>
  <si>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</si>
  <si>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</si>
  <si>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</si>
  <si>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</si>
  <si>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</si>
  <si>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</si>
  <si>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</si>
  <si>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</si>
  <si>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</si>
  <si>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</si>
  <si>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</si>
  <si>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</si>
  <si>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</si>
  <si>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</si>
  <si>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</si>
  <si>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</si>
  <si>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</si>
  <si>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</si>
  <si>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</si>
  <si>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</si>
  <si>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</si>
  <si>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</si>
  <si>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</si>
  <si>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</si>
  <si>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</si>
  <si>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</si>
  <si>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</si>
  <si>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</si>
  <si>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</si>
  <si>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</si>
  <si>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</si>
  <si>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</si>
  <si>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</si>
  <si>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</si>
  <si>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</si>
  <si>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</si>
  <si>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</si>
  <si>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</si>
  <si>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</si>
  <si>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</si>
  <si>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</si>
  <si>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</si>
  <si>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</si>
  <si>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</si>
  <si>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</si>
  <si>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</si>
  <si>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</si>
  <si>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</si>
  <si>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</si>
  <si>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</si>
  <si>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</si>
  <si>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</si>
  <si>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</si>
  <si>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</si>
  <si>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</si>
  <si>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</si>
  <si>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</si>
  <si>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</si>
  <si>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</si>
  <si>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</si>
  <si>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</si>
  <si>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</si>
  <si>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</si>
  <si>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</si>
  <si>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</si>
  <si>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</si>
  <si>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</si>
  <si>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</si>
  <si>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</si>
  <si>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</si>
  <si>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</si>
  <si>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</si>
  <si>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</si>
  <si>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</si>
  <si>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</si>
  <si>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</si>
  <si>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</si>
  <si>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</si>
  <si>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</si>
  <si>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</si>
  <si>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</si>
  <si>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</si>
  <si>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</si>
  <si>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</si>
  <si>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</si>
  <si>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</si>
  <si>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</si>
  <si>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</si>
  <si>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</si>
  <si>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</si>
  <si>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</si>
  <si>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</si>
  <si>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</si>
  <si>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</si>
  <si>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</si>
  <si>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</si>
  <si>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</si>
  <si>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</si>
  <si>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</si>
  <si>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</si>
  <si>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</si>
  <si>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</si>
  <si>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</si>
  <si>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</si>
  <si>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</si>
  <si>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</si>
  <si>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</si>
  <si>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</si>
  <si>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</si>
  <si>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</si>
  <si>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</si>
  <si>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</si>
  <si>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</si>
  <si>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</si>
  <si>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</si>
  <si>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</si>
  <si>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</si>
  <si>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</si>
  <si>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</si>
  <si>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</si>
  <si>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</si>
  <si>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</si>
  <si>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</si>
  <si>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</si>
  <si>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</si>
  <si>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</si>
  <si>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</si>
  <si>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</si>
  <si>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</si>
  <si>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</si>
  <si>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</si>
  <si>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</si>
  <si>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</si>
  <si>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</si>
  <si>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</si>
  <si>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</si>
  <si>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</si>
  <si>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</si>
  <si>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</si>
  <si>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</si>
  <si>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</si>
  <si>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</si>
  <si>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</si>
  <si>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</si>
  <si>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</si>
  <si>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</si>
  <si>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</si>
  <si>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</si>
  <si>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</si>
  <si>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</si>
  <si>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</si>
  <si>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</si>
  <si>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</si>
  <si>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</si>
  <si>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</si>
  <si>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</si>
  <si>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</si>
  <si>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</si>
  <si>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</si>
  <si>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</si>
  <si>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</si>
  <si>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</si>
  <si>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</si>
  <si>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</si>
  <si>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</si>
  <si>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</si>
  <si>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</si>
  <si>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</si>
  <si>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</si>
  <si>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</si>
  <si>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</si>
  <si>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</si>
  <si>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</si>
  <si>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</si>
  <si>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</si>
  <si>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</si>
  <si>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</si>
  <si>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</si>
  <si>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</si>
  <si>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</si>
  <si>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</si>
  <si>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</si>
  <si>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</si>
  <si>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</si>
  <si>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</si>
  <si>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</si>
  <si>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</si>
  <si>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</si>
  <si>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</si>
  <si>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</si>
  <si>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</si>
  <si>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</si>
  <si>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</si>
  <si>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</si>
  <si>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</si>
  <si>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</si>
  <si>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</si>
  <si>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</si>
  <si>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</si>
  <si>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</si>
  <si>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</si>
  <si>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</si>
  <si>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</si>
  <si>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</si>
  <si>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</si>
  <si>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</si>
  <si>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</si>
  <si>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</si>
  <si>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</si>
  <si>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</si>
  <si>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</si>
  <si>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</si>
  <si>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</si>
  <si>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</si>
  <si>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</si>
  <si>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</si>
  <si>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</si>
  <si>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</si>
  <si>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</si>
  <si>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</si>
  <si>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</si>
  <si>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</si>
  <si>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</si>
  <si>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</si>
  <si>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</si>
  <si>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</si>
  <si>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</si>
  <si>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</si>
  <si>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</si>
  <si>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</si>
  <si>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</si>
  <si>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</si>
  <si>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</si>
  <si>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</si>
  <si>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</si>
  <si>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</si>
  <si>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</si>
  <si>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</si>
  <si>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</si>
  <si>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</si>
  <si>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</si>
  <si>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</si>
  <si>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</si>
  <si>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</si>
  <si>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</si>
  <si>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</si>
  <si>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</si>
  <si>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</si>
  <si>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</si>
  <si>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</si>
  <si>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</si>
  <si>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</si>
  <si>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</si>
  <si>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</si>
  <si>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</si>
  <si>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</si>
  <si>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</si>
  <si>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</si>
  <si>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</si>
  <si>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</si>
  <si>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</si>
  <si>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</si>
  <si>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</si>
  <si>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</si>
  <si>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</si>
  <si>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</si>
  <si>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</si>
  <si>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</si>
  <si>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</si>
  <si>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</si>
  <si>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</si>
  <si>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</si>
  <si>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</si>
  <si>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</si>
  <si>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</si>
  <si>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</si>
  <si>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</si>
  <si>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</si>
  <si>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</si>
  <si>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</si>
  <si>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</si>
  <si>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</si>
  <si>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</si>
  <si>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</si>
  <si>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</si>
  <si>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</si>
  <si>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</si>
  <si>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</si>
  <si>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</si>
  <si>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</si>
  <si>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</si>
  <si>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</si>
  <si>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</si>
  <si>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</si>
  <si>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</si>
  <si>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</si>
  <si>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</si>
  <si>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</si>
  <si>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</si>
  <si>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</si>
  <si>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</si>
  <si>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</si>
  <si>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</si>
  <si>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</si>
  <si>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</si>
  <si>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</si>
  <si>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</si>
  <si>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</si>
  <si>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</si>
  <si>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</si>
  <si>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</si>
  <si>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</si>
  <si>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</si>
  <si>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</si>
  <si>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</si>
  <si>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</si>
  <si>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</si>
  <si>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</si>
  <si>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</si>
  <si>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</si>
  <si>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</si>
  <si>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</si>
  <si>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</si>
  <si>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</si>
  <si>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</si>
  <si>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</si>
  <si>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</si>
  <si>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</si>
  <si>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</si>
  <si>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</si>
  <si>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</si>
  <si>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</si>
  <si>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</si>
  <si>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</si>
  <si>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</si>
  <si>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</si>
  <si>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</si>
  <si>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</si>
  <si>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</si>
  <si>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</si>
  <si>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</si>
  <si>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</si>
  <si>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</si>
  <si>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</si>
  <si>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</si>
  <si>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</si>
  <si>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</si>
  <si>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</si>
  <si>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</si>
  <si>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</si>
  <si>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</si>
  <si>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</si>
  <si>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</si>
  <si>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</si>
  <si>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</si>
  <si>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</si>
  <si>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</si>
  <si>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</si>
  <si>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</si>
  <si>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</si>
  <si>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</si>
  <si>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</si>
  <si>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</si>
  <si>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</si>
  <si>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</si>
  <si>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</si>
  <si>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</si>
  <si>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</si>
  <si>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</si>
  <si>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</si>
  <si>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</si>
  <si>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</si>
  <si>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</si>
  <si>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</si>
  <si>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</si>
  <si>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</si>
  <si>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</si>
  <si>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</si>
  <si>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</si>
  <si>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</si>
  <si>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</si>
  <si>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</si>
  <si>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</si>
  <si>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</si>
  <si>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</si>
  <si>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</si>
  <si>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</si>
  <si>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</si>
  <si>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</si>
  <si>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</si>
  <si>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</si>
  <si>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</si>
  <si>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</si>
  <si>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</si>
  <si>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</si>
  <si>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</si>
  <si>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</si>
  <si>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</si>
  <si>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</si>
  <si>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</si>
  <si>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</si>
  <si>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</si>
  <si>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</si>
  <si>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</si>
  <si>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</si>
  <si>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</si>
  <si>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</si>
  <si>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</si>
  <si>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</si>
  <si>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</si>
  <si>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</si>
  <si>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</si>
  <si>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</si>
  <si>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</si>
  <si>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</si>
  <si>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</si>
  <si>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</si>
  <si>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</si>
  <si>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</si>
  <si>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</si>
  <si>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</si>
  <si>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</si>
  <si>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</si>
  <si>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</si>
  <si>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</si>
  <si>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</si>
  <si>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</si>
  <si>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</si>
  <si>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</si>
  <si>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</si>
  <si>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</si>
  <si>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</si>
  <si>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</si>
  <si>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</si>
  <si>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</si>
  <si>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</si>
  <si>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</si>
  <si>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</si>
  <si>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</si>
  <si>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</si>
  <si>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</si>
  <si>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</si>
  <si>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</si>
  <si>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</si>
  <si>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</si>
  <si>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</si>
  <si>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</si>
  <si>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</si>
  <si>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</si>
  <si>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</si>
  <si>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</si>
  <si>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</si>
  <si>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</si>
  <si>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</si>
  <si>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</si>
  <si>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</si>
  <si>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</si>
  <si>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</si>
  <si>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</si>
  <si>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</si>
  <si>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</si>
  <si>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</si>
  <si>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</si>
  <si>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</si>
  <si>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</si>
  <si>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</si>
  <si>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</si>
  <si>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</si>
  <si>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</si>
  <si>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</si>
  <si>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</si>
  <si>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</si>
  <si>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</si>
  <si>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</si>
  <si>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</si>
  <si>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</si>
  <si>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</si>
  <si>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</si>
  <si>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</si>
  <si>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</si>
  <si>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</si>
  <si>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</si>
  <si>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</si>
  <si>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</si>
  <si>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</si>
  <si>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</si>
  <si>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</si>
  <si>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</si>
  <si>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</si>
  <si>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</si>
  <si>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</si>
  <si>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</si>
  <si>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</si>
  <si>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</si>
  <si>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</si>
  <si>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</si>
  <si>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</si>
  <si>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</si>
  <si>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</si>
  <si>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</si>
  <si>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</si>
  <si>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</si>
  <si>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</si>
  <si>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</si>
  <si>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</si>
  <si>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</si>
  <si>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</si>
  <si>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</si>
  <si>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</si>
  <si>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</si>
  <si>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</si>
  <si>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</si>
  <si>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</si>
  <si>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</si>
  <si>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</si>
  <si>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</si>
  <si>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</si>
  <si>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</si>
  <si>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</si>
  <si>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</si>
  <si>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</si>
  <si>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</si>
  <si>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</si>
  <si>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</si>
  <si>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</si>
  <si>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</si>
  <si>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</si>
  <si>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</si>
  <si>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</si>
  <si>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</si>
  <si>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</si>
  <si>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</si>
  <si>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</si>
  <si>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</si>
  <si>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</si>
  <si>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</si>
  <si>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</si>
  <si>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</si>
  <si>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</si>
  <si>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</si>
  <si>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</si>
  <si>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</si>
  <si>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</si>
  <si>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</si>
  <si>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</si>
  <si>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</si>
  <si>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</si>
  <si>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</si>
  <si>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</si>
  <si>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</si>
  <si>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</si>
  <si>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</si>
  <si>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</si>
  <si>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</si>
  <si>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</si>
  <si>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</si>
  <si>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</si>
  <si>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</si>
  <si>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</si>
  <si>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</si>
  <si>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</si>
  <si>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</si>
  <si>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</si>
  <si>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</si>
  <si>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</si>
  <si>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</si>
  <si>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</si>
  <si>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</si>
  <si>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</si>
  <si>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</si>
  <si>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</si>
  <si>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</si>
  <si>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</si>
  <si>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</si>
  <si>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</si>
  <si>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</si>
  <si>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</si>
  <si>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</si>
  <si>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</si>
  <si>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</si>
  <si>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</si>
  <si>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</si>
  <si>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</si>
  <si>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</si>
  <si>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</si>
  <si>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</si>
  <si>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</si>
  <si>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</si>
  <si>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</si>
  <si>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</si>
  <si>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</si>
  <si>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</si>
  <si>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</si>
  <si>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</si>
  <si>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</si>
  <si>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</si>
  <si>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</si>
  <si>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</si>
  <si>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</si>
  <si>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</si>
  <si>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</si>
  <si>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</si>
  <si>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</si>
  <si>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</si>
  <si>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</si>
  <si>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</si>
  <si>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</si>
  <si>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</si>
  <si>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</si>
  <si>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</si>
  <si>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</si>
  <si>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</si>
  <si>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</si>
  <si>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</si>
  <si>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</si>
  <si>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</si>
  <si>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</si>
  <si>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</si>
  <si>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</si>
  <si>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</si>
  <si>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</si>
  <si>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</si>
  <si>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</si>
  <si>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</si>
  <si>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</si>
  <si>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</si>
  <si>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</si>
  <si>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</si>
  <si>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</si>
  <si>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</si>
  <si>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</si>
  <si>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</si>
  <si>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</si>
  <si>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</si>
  <si>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</si>
  <si>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</si>
  <si>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</si>
  <si>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</si>
  <si>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</si>
  <si>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</si>
  <si>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</si>
  <si>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</si>
  <si>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</si>
  <si>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</si>
  <si>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</si>
  <si>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</si>
  <si>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</si>
  <si>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</si>
  <si>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</si>
  <si>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</si>
  <si>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</si>
  <si>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</si>
  <si>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</si>
  <si>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</si>
  <si>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</si>
  <si>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</si>
  <si>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</si>
  <si>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</si>
  <si>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</si>
  <si>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</si>
  <si>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</si>
  <si>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</si>
  <si>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</si>
  <si>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</si>
  <si>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</si>
  <si>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</si>
  <si>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</si>
  <si>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</si>
  <si>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</si>
  <si>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</si>
  <si>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</si>
  <si>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</si>
  <si>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</si>
  <si>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</si>
  <si>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</si>
  <si>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</si>
  <si>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</si>
  <si>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</si>
  <si>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</si>
  <si>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</si>
  <si>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</si>
  <si>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</si>
  <si>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</si>
  <si>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</si>
  <si>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</si>
  <si>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</si>
  <si>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</si>
  <si>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</si>
  <si>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</si>
  <si>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</si>
  <si>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</si>
  <si>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</si>
  <si>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</si>
  <si>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</si>
  <si>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</si>
  <si>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</si>
  <si>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</si>
  <si>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</si>
  <si>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</si>
  <si>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</si>
  <si>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</si>
  <si>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</si>
  <si>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</si>
  <si>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</si>
  <si>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</si>
  <si>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</si>
  <si>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</si>
  <si>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</si>
  <si>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</si>
  <si>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</si>
  <si>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</si>
  <si>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</si>
  <si>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</si>
  <si>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</si>
  <si>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</si>
  <si>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</si>
  <si>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</si>
  <si>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</si>
  <si>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</si>
  <si>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</si>
  <si>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</si>
  <si>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</si>
  <si>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</si>
  <si>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</si>
  <si>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</si>
  <si>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</si>
  <si>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</si>
  <si>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</si>
  <si>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</si>
  <si>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</si>
  <si>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</si>
  <si>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</si>
  <si>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</si>
  <si>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</si>
  <si>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</si>
  <si>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</si>
  <si>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</si>
  <si>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</si>
  <si>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</si>
  <si>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</si>
  <si>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</si>
  <si>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</si>
  <si>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</si>
  <si>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</si>
  <si>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</si>
  <si>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</si>
  <si>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</si>
  <si>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</si>
  <si>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</si>
  <si>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</si>
  <si>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</si>
  <si>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</si>
  <si>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</si>
  <si>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</si>
  <si>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</si>
  <si>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</si>
  <si>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</si>
  <si>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</si>
  <si>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</si>
  <si>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</si>
  <si>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</si>
  <si>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</si>
  <si>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</si>
  <si>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</si>
  <si>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</si>
  <si>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</si>
  <si>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</si>
  <si>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</si>
  <si>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</si>
  <si>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</si>
  <si>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</si>
  <si>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</si>
  <si>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</si>
  <si>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</si>
  <si>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</si>
  <si>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</si>
  <si>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</si>
  <si>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</si>
  <si>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</si>
  <si>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</si>
  <si>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</si>
  <si>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</si>
  <si>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</si>
  <si>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</si>
  <si>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</si>
  <si>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</si>
  <si>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</si>
  <si>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</si>
  <si>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</si>
  <si>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</si>
  <si>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</si>
  <si>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</si>
  <si>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</si>
  <si>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</si>
  <si>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</si>
  <si>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</si>
  <si>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</si>
  <si>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</si>
  <si>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</si>
  <si>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</si>
  <si>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</si>
  <si>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</si>
  <si>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</si>
  <si>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</si>
  <si>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</si>
  <si>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</si>
  <si>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</si>
  <si>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</si>
  <si>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</si>
  <si>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</si>
  <si>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</si>
  <si>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</si>
  <si>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</si>
  <si>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</si>
  <si>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</si>
  <si>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</si>
  <si>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</si>
  <si>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</si>
  <si>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</si>
  <si>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</si>
  <si>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</si>
  <si>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</si>
  <si>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</si>
  <si>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</si>
  <si>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</si>
  <si>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</si>
  <si>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</si>
  <si>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</si>
  <si>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</si>
  <si>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</si>
  <si>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</si>
  <si>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</si>
  <si>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</si>
  <si>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</si>
  <si>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</si>
  <si>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</si>
  <si>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</si>
  <si>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</si>
  <si>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</si>
  <si>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</si>
  <si>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</si>
  <si>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</si>
  <si>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</si>
  <si>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</si>
  <si>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</si>
  <si>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</si>
  <si>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</si>
  <si>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</si>
  <si>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</si>
  <si>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</si>
  <si>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</si>
  <si>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</si>
  <si>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</si>
  <si>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</si>
  <si>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</si>
  <si>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</si>
  <si>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</si>
  <si>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</si>
  <si>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</si>
  <si>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</si>
  <si>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</si>
  <si>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</si>
  <si>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</si>
  <si>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</si>
  <si>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</si>
  <si>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</si>
  <si>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</si>
  <si>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</si>
  <si>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</si>
  <si>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</si>
  <si>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</si>
  <si>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</si>
  <si>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</si>
  <si>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</si>
  <si>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</si>
  <si>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</si>
  <si>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</si>
  <si>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</si>
  <si>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</si>
  <si>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</si>
  <si>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</si>
  <si>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</si>
  <si>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</si>
  <si>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</si>
  <si>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</si>
  <si>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</si>
  <si>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</si>
  <si>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</si>
  <si>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</si>
  <si>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</si>
  <si>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</si>
  <si>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</si>
  <si>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</si>
  <si>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</si>
  <si>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</si>
  <si>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</si>
  <si>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</si>
  <si>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</si>
  <si>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</si>
  <si>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</si>
  <si>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</si>
  <si>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</si>
  <si>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</si>
  <si>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</si>
  <si>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</si>
  <si>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</si>
  <si>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</si>
  <si>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</si>
  <si>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</si>
  <si>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</si>
  <si>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</si>
  <si>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</si>
  <si>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</si>
  <si>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</si>
  <si>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</si>
  <si>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</si>
  <si>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</si>
  <si>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</si>
  <si>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</si>
  <si>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</si>
  <si>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</si>
  <si>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</si>
  <si>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</si>
  <si>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</si>
  <si>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</si>
  <si>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</si>
  <si>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</si>
  <si>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</si>
  <si>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</si>
  <si>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</si>
  <si>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</si>
  <si>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</si>
  <si>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</si>
  <si>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</si>
  <si>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</si>
  <si>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</si>
  <si>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</si>
  <si>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</si>
  <si>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</si>
  <si>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</si>
  <si>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</si>
  <si>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</si>
  <si>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</si>
  <si>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</si>
  <si>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</si>
  <si>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</si>
  <si>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</si>
  <si>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</si>
  <si>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</si>
  <si>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</si>
  <si>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</si>
  <si>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</si>
  <si>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</si>
  <si>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</si>
  <si>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</si>
  <si>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</si>
  <si>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</si>
  <si>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</si>
  <si>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</si>
  <si>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</si>
  <si>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</si>
  <si>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</si>
  <si>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</si>
  <si>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</si>
  <si>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</si>
  <si>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</si>
  <si>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</si>
  <si>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</si>
  <si>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</si>
  <si>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</si>
  <si>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</si>
  <si>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</si>
  <si>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</si>
  <si>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</si>
  <si>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</si>
  <si>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</si>
  <si>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</si>
  <si>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</si>
  <si>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</si>
  <si>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</si>
  <si>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</si>
  <si>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</si>
  <si>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</si>
  <si>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</si>
  <si>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</si>
  <si>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</si>
  <si>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</si>
  <si>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</si>
  <si>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</si>
  <si>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</si>
  <si>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</si>
  <si>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</si>
  <si>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</si>
  <si>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</si>
  <si>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</si>
  <si>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</si>
  <si>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</si>
  <si>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</si>
  <si>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</si>
  <si>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</si>
  <si>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</si>
  <si>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</si>
  <si>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</si>
  <si>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</si>
  <si>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</si>
  <si>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</si>
  <si>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</si>
  <si>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</si>
  <si>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</si>
  <si>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</si>
  <si>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</si>
  <si>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</si>
  <si>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</si>
  <si>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</si>
  <si>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</si>
  <si>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</si>
  <si>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</si>
  <si>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</si>
  <si>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</si>
  <si>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</si>
  <si>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</si>
  <si>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</si>
  <si>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</si>
  <si>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</si>
  <si>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</si>
  <si>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</si>
  <si>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</si>
  <si>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</si>
  <si>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</si>
  <si>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</si>
  <si>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</si>
  <si>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</si>
  <si>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</si>
  <si>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</si>
  <si>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</si>
  <si>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</si>
  <si>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</si>
  <si>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</si>
  <si>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</si>
  <si>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</si>
  <si>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</si>
  <si>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</si>
  <si>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</si>
  <si>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</si>
  <si>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</si>
  <si>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</si>
  <si>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</si>
  <si>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</si>
  <si>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</si>
  <si>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</si>
  <si>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</si>
  <si>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</si>
  <si>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</si>
  <si>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</si>
  <si>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</si>
  <si>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</si>
  <si>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</si>
  <si>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</si>
  <si>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</si>
  <si>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</si>
  <si>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</si>
  <si>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</si>
  <si>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</si>
  <si>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</si>
  <si>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</si>
  <si>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</si>
  <si>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</si>
  <si>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</si>
  <si>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</si>
  <si>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</si>
  <si>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</si>
  <si>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</si>
  <si>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</si>
  <si>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</si>
  <si>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</si>
  <si>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</si>
  <si>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</si>
  <si>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</si>
  <si>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</si>
  <si>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</si>
  <si>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</si>
  <si>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</si>
  <si>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</si>
  <si>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</si>
  <si>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</si>
  <si>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</si>
  <si>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</si>
  <si>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</si>
  <si>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</si>
  <si>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</si>
  <si>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</si>
  <si>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</si>
  <si>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</si>
  <si>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</si>
  <si>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</si>
  <si>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</si>
  <si>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</si>
  <si>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</si>
  <si>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</si>
  <si>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</si>
  <si>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</si>
  <si>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</si>
  <si>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</si>
  <si>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</si>
  <si>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</si>
  <si>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</si>
  <si>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</si>
  <si>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</si>
  <si>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</si>
  <si>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</si>
  <si>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</si>
  <si>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</si>
  <si>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</si>
  <si>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</si>
  <si>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</si>
  <si>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</si>
  <si>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</si>
  <si>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</si>
  <si>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</si>
  <si>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</si>
  <si>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</si>
  <si>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</si>
  <si>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</si>
  <si>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</si>
  <si>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</si>
  <si>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</si>
  <si>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</si>
  <si>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</si>
  <si>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</si>
  <si>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</si>
  <si>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</si>
  <si>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</si>
  <si>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</si>
  <si>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</si>
  <si>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</si>
  <si>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</si>
  <si>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</si>
  <si>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</si>
  <si>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</si>
  <si>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</si>
  <si>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</si>
  <si>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</si>
  <si>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</si>
  <si>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</si>
  <si>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</si>
  <si>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</si>
  <si>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</si>
  <si>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</si>
  <si>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</si>
  <si>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</si>
  <si>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</si>
  <si>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</si>
  <si>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</si>
  <si>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</si>
  <si>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</si>
  <si>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</si>
  <si>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</si>
  <si>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</si>
  <si>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</si>
  <si>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</si>
  <si>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</si>
  <si>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</si>
  <si>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</si>
  <si>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</si>
  <si>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</si>
  <si>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</si>
  <si>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</si>
  <si>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</si>
  <si>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</si>
  <si>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</si>
  <si>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</si>
  <si>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</si>
  <si>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</si>
  <si>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</si>
  <si>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</si>
  <si>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</si>
  <si>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</si>
  <si>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</si>
  <si>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</si>
  <si>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</si>
  <si>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</si>
  <si>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</si>
  <si>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</si>
  <si>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</si>
  <si>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</si>
  <si>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</si>
  <si>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</si>
  <si>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</si>
  <si>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</si>
  <si>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</si>
  <si>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</si>
  <si>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</si>
  <si>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</si>
  <si>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</si>
  <si>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</si>
  <si>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</si>
  <si>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</si>
  <si>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</si>
  <si>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</si>
  <si>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</si>
  <si>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</si>
  <si>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</si>
  <si>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</si>
  <si>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</si>
  <si>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</si>
  <si>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</si>
  <si>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</si>
  <si>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</si>
  <si>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</si>
  <si>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</si>
  <si>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</si>
  <si>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</si>
  <si>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</si>
  <si>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</si>
  <si>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</si>
  <si>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</si>
  <si>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</si>
  <si>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</si>
  <si>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</si>
  <si>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</si>
  <si>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</si>
  <si>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</si>
  <si>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</si>
  <si>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</si>
  <si>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</si>
  <si>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</si>
  <si>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</si>
  <si>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</si>
  <si>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</si>
  <si>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</si>
  <si>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</si>
  <si>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</si>
  <si>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</si>
  <si>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</si>
  <si>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</si>
  <si>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</si>
  <si>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</si>
  <si>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</si>
  <si>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</si>
  <si>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</si>
  <si>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</si>
  <si>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</si>
  <si>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</si>
  <si>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</si>
  <si>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</si>
  <si>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</si>
  <si>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</si>
  <si>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</si>
  <si>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</si>
  <si>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</si>
  <si>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</si>
  <si>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</si>
  <si>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</si>
  <si>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</si>
  <si>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</si>
  <si>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</si>
  <si>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</si>
  <si>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</si>
  <si>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</si>
  <si>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</si>
  <si>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</si>
  <si>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</si>
  <si>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</si>
  <si>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</si>
  <si>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</si>
  <si>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</si>
  <si>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</si>
  <si>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</si>
  <si>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</si>
  <si>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</si>
  <si>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</si>
  <si>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</si>
  <si>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</si>
  <si>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</si>
  <si>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</si>
  <si>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</si>
  <si>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</si>
  <si>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</si>
  <si>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</si>
  <si>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</si>
  <si>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</si>
  <si>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</si>
  <si>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</si>
  <si>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</si>
  <si>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</si>
  <si>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</si>
  <si>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</si>
  <si>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</si>
  <si>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</si>
  <si>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</si>
  <si>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</si>
  <si>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</si>
  <si>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</si>
  <si>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</si>
  <si>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</si>
  <si>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</si>
  <si>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</si>
  <si>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</si>
  <si>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</si>
  <si>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</si>
  <si>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</si>
  <si>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</si>
  <si>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</si>
  <si>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</si>
  <si>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</si>
  <si>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</si>
  <si>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</si>
  <si>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</si>
  <si>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</si>
  <si>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</si>
  <si>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</si>
  <si>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</si>
  <si>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</si>
  <si>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</si>
  <si>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</si>
  <si>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</si>
  <si>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</si>
  <si>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</si>
  <si>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</si>
  <si>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</si>
  <si>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</si>
  <si>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</si>
  <si>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</si>
  <si>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</si>
  <si>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</si>
  <si>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</si>
  <si>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</si>
  <si>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</si>
  <si>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</si>
  <si>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</si>
  <si>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</si>
  <si>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</si>
  <si>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</si>
  <si>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</si>
  <si>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</si>
  <si>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</si>
  <si>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</si>
  <si>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</si>
  <si>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</si>
  <si>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</si>
  <si>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</si>
  <si>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</si>
  <si>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</si>
  <si>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</si>
  <si>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</si>
  <si>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</si>
  <si>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</si>
  <si>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</si>
  <si>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</si>
  <si>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</si>
  <si>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</si>
  <si>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</si>
  <si>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</si>
  <si>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</si>
  <si>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</si>
  <si>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</si>
  <si>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</si>
  <si>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</si>
  <si>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</si>
  <si>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</si>
  <si>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</si>
  <si>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</si>
  <si>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</si>
  <si>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</si>
  <si>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</si>
  <si>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</si>
  <si>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</si>
  <si>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</si>
  <si>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</si>
  <si>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</si>
  <si>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</si>
  <si>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</si>
  <si>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</si>
  <si>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</si>
  <si>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</si>
  <si>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</si>
  <si>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</si>
  <si>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</si>
  <si>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</si>
  <si>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</si>
  <si>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</si>
  <si>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</si>
  <si>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</si>
  <si>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</si>
  <si>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</si>
  <si>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</si>
  <si>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</si>
  <si>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</si>
  <si>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</si>
  <si>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</si>
  <si>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</si>
  <si>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</si>
  <si>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</si>
  <si>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</si>
  <si>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</si>
  <si>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</si>
  <si>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</si>
  <si>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</si>
  <si>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</si>
  <si>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</si>
  <si>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</si>
  <si>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</si>
  <si>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</si>
  <si>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</si>
  <si>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</si>
  <si>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</si>
  <si>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</si>
  <si>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</si>
  <si>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</si>
  <si>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</si>
  <si>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</si>
  <si>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</si>
  <si>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</si>
  <si>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</si>
  <si>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</si>
  <si>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</si>
  <si>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</si>
  <si>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</si>
  <si>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</si>
  <si>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</si>
  <si>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</si>
  <si>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</si>
  <si>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</si>
  <si>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</si>
  <si>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</si>
  <si>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</si>
  <si>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</si>
  <si>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</si>
  <si>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</si>
  <si>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</si>
  <si>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</si>
  <si>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</si>
  <si>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</si>
  <si>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</si>
  <si>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</si>
  <si>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</si>
  <si>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</si>
  <si>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</si>
  <si>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</si>
  <si>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</si>
  <si>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</si>
  <si>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</si>
  <si>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</si>
  <si>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</si>
  <si>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</si>
  <si>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</si>
  <si>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</si>
  <si>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</si>
  <si>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</si>
  <si>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</si>
  <si>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</si>
  <si>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</si>
  <si>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</si>
  <si>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</si>
  <si>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</si>
  <si>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</si>
  <si>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</si>
  <si>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</si>
  <si>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</si>
  <si>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</si>
  <si>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</si>
  <si>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</si>
  <si>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</si>
  <si>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</si>
  <si>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</si>
  <si>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</si>
  <si>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</si>
  <si>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</si>
  <si>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</si>
  <si>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</si>
  <si>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</si>
  <si>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</si>
  <si>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</si>
  <si>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</si>
  <si>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</si>
  <si>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</si>
  <si>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</si>
  <si>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</si>
  <si>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</si>
  <si>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</si>
  <si>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</si>
  <si>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</si>
  <si>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</si>
  <si>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</si>
  <si>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</si>
  <si>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</si>
  <si>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</si>
  <si>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</si>
  <si>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</si>
  <si>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</si>
  <si>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</si>
  <si>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</si>
  <si>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</si>
  <si>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</si>
  <si>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</si>
  <si>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</si>
  <si>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</si>
  <si>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</si>
  <si>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</si>
  <si>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</si>
  <si>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</si>
  <si>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</si>
  <si>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</si>
  <si>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</si>
  <si>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</si>
  <si>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</si>
  <si>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</si>
  <si>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</si>
  <si>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</si>
  <si>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</si>
  <si>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</si>
  <si>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</si>
  <si>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</si>
  <si>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</si>
  <si>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</si>
  <si>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</si>
  <si>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</si>
  <si>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</si>
  <si>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</si>
  <si>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</si>
  <si>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</si>
  <si>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</si>
  <si>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</si>
  <si>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</si>
  <si>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</si>
  <si>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</si>
  <si>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</si>
  <si>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</si>
  <si>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</si>
  <si>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</si>
  <si>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</si>
  <si>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</si>
  <si>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</si>
  <si>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</si>
  <si>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</si>
  <si>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</si>
  <si>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</si>
  <si>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</si>
  <si>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</si>
  <si>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</si>
  <si>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</si>
  <si>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</si>
  <si>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</si>
  <si>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</si>
  <si>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</si>
  <si>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</si>
  <si>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</si>
  <si>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</si>
  <si>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</si>
  <si>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</si>
  <si>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</si>
  <si>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</si>
  <si>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</si>
  <si>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</si>
  <si>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</si>
  <si>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</si>
  <si>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</si>
  <si>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</si>
  <si>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</si>
  <si>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</si>
  <si>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</si>
  <si>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</si>
  <si>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</si>
  <si>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</si>
  <si>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</si>
  <si>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</si>
  <si>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</si>
  <si>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</si>
  <si>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</si>
  <si>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</si>
  <si>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</si>
  <si>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</si>
  <si>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</si>
  <si>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</si>
  <si>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</si>
  <si>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</si>
  <si>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</si>
  <si>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</si>
  <si>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</si>
  <si>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</si>
  <si>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</si>
  <si>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</si>
  <si>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</si>
  <si>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</si>
  <si>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</si>
  <si>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</si>
  <si>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</si>
  <si>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</si>
  <si>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</si>
  <si>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</si>
  <si>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</si>
  <si>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</si>
  <si>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</si>
  <si>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</si>
  <si>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</si>
  <si>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</si>
  <si>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</si>
  <si>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</si>
  <si>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</si>
  <si>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</si>
  <si>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</si>
  <si>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</si>
  <si>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</si>
  <si>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</si>
  <si>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</si>
  <si>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</si>
  <si>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</si>
  <si>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</si>
  <si>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</si>
  <si>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</si>
  <si>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</si>
  <si>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</si>
  <si>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</si>
  <si>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</si>
  <si>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</si>
  <si>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</si>
  <si>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</si>
  <si>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</si>
  <si>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</si>
  <si>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</si>
  <si>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</si>
  <si>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</si>
  <si>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</si>
  <si>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</si>
  <si>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</si>
  <si>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</si>
  <si>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</si>
  <si>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</si>
  <si>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</si>
  <si>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</si>
  <si>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</si>
  <si>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</si>
  <si>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</si>
  <si>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</si>
  <si>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</si>
  <si>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</si>
  <si>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</si>
  <si>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</si>
  <si>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</si>
  <si>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</si>
  <si>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</si>
  <si>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</si>
  <si>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</si>
  <si>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</si>
  <si>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</si>
  <si>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</si>
  <si>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</si>
  <si>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</si>
  <si>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</si>
  <si>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</si>
  <si>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</si>
  <si>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</si>
  <si>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</si>
  <si>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</si>
  <si>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</si>
  <si>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</si>
  <si>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</si>
  <si>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</si>
  <si>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</si>
  <si>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</si>
  <si>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</si>
  <si>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</si>
  <si>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</si>
  <si>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</si>
  <si>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</si>
  <si>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</si>
  <si>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</si>
  <si>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</si>
  <si>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</si>
  <si>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</si>
  <si>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</si>
  <si>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</si>
  <si>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</si>
  <si>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</si>
  <si>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</si>
  <si>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</si>
  <si>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</si>
  <si>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</si>
  <si>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</si>
  <si>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</si>
  <si>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</si>
  <si>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</si>
  <si>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</si>
  <si>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</si>
  <si>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</si>
  <si>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</si>
  <si>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</si>
  <si>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</si>
  <si>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</si>
  <si>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</si>
  <si>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</si>
  <si>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</si>
  <si>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</si>
  <si>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</si>
  <si>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</si>
  <si>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</si>
  <si>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</si>
  <si>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</si>
  <si>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</si>
  <si>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</si>
  <si>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</si>
  <si>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</si>
  <si>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</si>
  <si>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</si>
  <si>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</si>
  <si>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</si>
  <si>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</si>
  <si>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</si>
  <si>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</si>
  <si>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</si>
  <si>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</si>
  <si>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</si>
  <si>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</si>
  <si>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</si>
  <si>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</si>
  <si>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</si>
  <si>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</si>
  <si>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</si>
  <si>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</si>
  <si>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</si>
  <si>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</si>
  <si>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</si>
  <si>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</si>
  <si>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</si>
  <si>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</si>
  <si>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</si>
  <si>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</si>
  <si>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</si>
  <si>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</si>
  <si>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</si>
  <si>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</si>
  <si>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</si>
  <si>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</si>
  <si>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</si>
  <si>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</si>
  <si>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</si>
  <si>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</si>
  <si>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</si>
  <si>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</si>
  <si>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</si>
  <si>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</si>
  <si>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</si>
  <si>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</si>
  <si>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</si>
  <si>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</si>
  <si>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</si>
  <si>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</si>
  <si>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</si>
  <si>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</si>
  <si>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</si>
  <si>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</si>
  <si>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</si>
  <si>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</si>
  <si>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</si>
  <si>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</si>
  <si>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</si>
  <si>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</si>
  <si>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</si>
  <si>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</si>
  <si>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</si>
  <si>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</si>
  <si>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</si>
  <si>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</si>
  <si>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</si>
  <si>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</si>
  <si>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</si>
  <si>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</si>
  <si>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</si>
  <si>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</si>
  <si>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</si>
  <si>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</si>
  <si>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</si>
  <si>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</si>
  <si>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</si>
  <si>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</si>
  <si>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</si>
  <si>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</si>
  <si>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</si>
  <si>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</si>
  <si>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</si>
  <si>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</si>
  <si>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</si>
  <si>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</si>
  <si>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</si>
  <si>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</si>
  <si>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</si>
  <si>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</si>
  <si>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</si>
  <si>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</si>
  <si>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</si>
  <si>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</si>
  <si>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</si>
  <si>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</si>
  <si>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</si>
  <si>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</si>
  <si>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</si>
  <si>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</si>
  <si>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</si>
  <si>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</si>
  <si>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</si>
  <si>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</si>
  <si>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</si>
  <si>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</si>
  <si>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</si>
  <si>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</si>
  <si>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</si>
  <si>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</si>
  <si>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</si>
  <si>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</si>
  <si>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</si>
  <si>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</si>
  <si>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</si>
  <si>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</si>
  <si>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</si>
  <si>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</si>
  <si>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</si>
  <si>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</si>
  <si>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</si>
  <si>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</si>
  <si>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</si>
  <si>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</si>
  <si>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</si>
  <si>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</si>
  <si>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</si>
  <si>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</si>
  <si>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</si>
  <si>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</si>
  <si>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</si>
  <si>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</si>
  <si>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</si>
  <si>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</si>
  <si>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</si>
  <si>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</si>
  <si>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</si>
  <si>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</si>
  <si>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</si>
  <si>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</si>
  <si>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</si>
  <si>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</si>
  <si>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</si>
  <si>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</si>
  <si>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</si>
  <si>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</si>
  <si>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</si>
  <si>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</si>
  <si>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</si>
  <si>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</si>
  <si>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</si>
  <si>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</si>
  <si>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</si>
  <si>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</si>
  <si>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</si>
  <si>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</si>
  <si>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</si>
  <si>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</si>
  <si>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</si>
  <si>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</si>
  <si>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</si>
  <si>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</si>
  <si>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</si>
  <si>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</si>
  <si>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</si>
  <si>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</si>
  <si>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</si>
  <si>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</si>
  <si>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</si>
  <si>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</si>
  <si>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</si>
  <si>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</si>
  <si>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</si>
  <si>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</si>
  <si>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</si>
  <si>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</si>
  <si>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</si>
  <si>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</si>
  <si>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</si>
  <si>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</si>
  <si>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</si>
  <si>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</si>
  <si>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</si>
  <si>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</si>
  <si>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</si>
  <si>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</si>
  <si>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</si>
  <si>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</si>
  <si>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</si>
  <si>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</si>
  <si>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</si>
  <si>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</si>
  <si>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</si>
  <si>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</si>
  <si>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</si>
  <si>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</si>
  <si>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</si>
  <si>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</si>
  <si>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</si>
  <si>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</si>
  <si>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</si>
  <si>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</si>
  <si>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</si>
  <si>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</si>
  <si>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</si>
  <si>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</si>
  <si>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</si>
  <si>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</si>
  <si>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</si>
  <si>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</si>
  <si>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</si>
  <si>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</si>
  <si>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</si>
  <si>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</si>
  <si>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</si>
  <si>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</si>
  <si>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</si>
  <si>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</si>
  <si>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</si>
  <si>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</si>
  <si>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</si>
  <si>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</si>
  <si>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</si>
  <si>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</si>
  <si>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</si>
  <si>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</si>
  <si>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</si>
  <si>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</si>
  <si>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</si>
  <si>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</si>
  <si>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</si>
  <si>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</si>
  <si>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</si>
  <si>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</si>
  <si>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</si>
  <si>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</si>
  <si>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</si>
  <si>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</si>
  <si>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</si>
  <si>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</si>
  <si>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</si>
  <si>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</si>
  <si>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</si>
  <si>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</si>
  <si>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</si>
  <si>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</si>
  <si>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</si>
  <si>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</si>
  <si>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</si>
  <si>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</si>
  <si>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</si>
  <si>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</si>
  <si>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</si>
  <si>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</si>
  <si>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</si>
  <si>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</si>
  <si>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</si>
  <si>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</si>
  <si>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</si>
  <si>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</si>
  <si>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</si>
  <si>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</si>
  <si>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</si>
  <si>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</si>
  <si>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</si>
  <si>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</si>
  <si>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</si>
  <si>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</si>
  <si>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</si>
  <si>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</si>
  <si>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</si>
  <si>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</si>
  <si>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</si>
  <si>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</si>
  <si>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</si>
  <si>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</si>
  <si>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</si>
  <si>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</si>
  <si>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</si>
  <si>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</si>
  <si>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</si>
  <si>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</si>
  <si>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</si>
  <si>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</si>
  <si>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</si>
  <si>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</si>
  <si>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</si>
  <si>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</si>
  <si>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</si>
  <si>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</si>
  <si>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</si>
  <si>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</si>
  <si>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</si>
  <si>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</si>
  <si>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</si>
  <si>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</si>
  <si>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</si>
  <si>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</si>
  <si>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</si>
  <si>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</si>
  <si>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</si>
  <si>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</si>
  <si>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</si>
  <si>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</si>
  <si>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</si>
  <si>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</si>
  <si>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</si>
  <si>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</si>
  <si>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</si>
  <si>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</si>
  <si>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</si>
  <si>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</si>
  <si>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</si>
  <si>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</si>
  <si>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</si>
  <si>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</si>
  <si>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</si>
  <si>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</si>
  <si>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</si>
  <si>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</si>
  <si>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</si>
  <si>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</si>
  <si>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</si>
  <si>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</si>
  <si>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</si>
  <si>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</si>
  <si>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</si>
  <si>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</si>
  <si>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</si>
  <si>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</si>
  <si>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</si>
  <si>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</si>
  <si>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</si>
  <si>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</si>
  <si>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</si>
  <si>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</si>
  <si>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</si>
  <si>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</si>
  <si>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</si>
  <si>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</si>
  <si>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</si>
  <si>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</si>
  <si>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</si>
  <si>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</si>
  <si>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</si>
  <si>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</si>
  <si>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</si>
  <si>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</si>
  <si>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</si>
  <si>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</si>
  <si>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</si>
  <si>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</si>
  <si>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</si>
  <si>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</si>
  <si>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</si>
  <si>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</si>
  <si>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</si>
  <si>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</si>
  <si>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</si>
  <si>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</si>
  <si>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</si>
  <si>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</si>
  <si>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</si>
  <si>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</si>
  <si>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</si>
  <si>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</si>
  <si>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</si>
  <si>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</si>
  <si>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</si>
  <si>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</si>
  <si>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</si>
  <si>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</si>
  <si>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</si>
  <si>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</si>
  <si>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</si>
  <si>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</si>
  <si>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</si>
  <si>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</si>
  <si>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</si>
  <si>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</si>
  <si>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</si>
  <si>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</si>
  <si>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</si>
  <si>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</si>
  <si>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</si>
  <si>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</si>
  <si>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</si>
  <si>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</si>
  <si>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</si>
  <si>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</si>
  <si>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</si>
  <si>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</si>
  <si>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</si>
  <si>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</si>
  <si>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</si>
  <si>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</si>
  <si>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</si>
  <si>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</si>
  <si>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</si>
  <si>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</si>
  <si>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</si>
  <si>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</si>
  <si>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</si>
  <si>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</si>
  <si>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</si>
  <si>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</si>
  <si>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</si>
  <si>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</si>
  <si>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</si>
  <si>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</si>
  <si>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</si>
  <si>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</si>
  <si>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</si>
  <si>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</si>
  <si>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</si>
  <si>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</si>
  <si>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</si>
  <si>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</si>
  <si>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</si>
  <si>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</si>
  <si>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</si>
  <si>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</si>
  <si>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</si>
  <si>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</si>
  <si>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</si>
  <si>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</si>
  <si>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</si>
  <si>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</si>
  <si>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</si>
  <si>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</si>
  <si>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</si>
  <si>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</si>
  <si>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</si>
  <si>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</si>
  <si>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</si>
  <si>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</si>
  <si>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</si>
  <si>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</si>
  <si>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</si>
  <si>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</si>
  <si>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</si>
  <si>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</si>
  <si>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</si>
  <si>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</si>
  <si>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</si>
  <si>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</si>
  <si>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</si>
  <si>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</si>
  <si>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</si>
  <si>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</si>
  <si>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</si>
  <si>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</si>
  <si>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</si>
  <si>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</si>
  <si>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</si>
  <si>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</si>
  <si>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</si>
  <si>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</si>
  <si>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</si>
  <si>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</si>
  <si>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</si>
  <si>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</si>
  <si>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</si>
  <si>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</si>
  <si>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</si>
  <si>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</si>
  <si>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</si>
  <si>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</si>
  <si>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</si>
  <si>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</si>
  <si>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</si>
  <si>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</si>
  <si>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</si>
  <si>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</si>
  <si>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</si>
  <si>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</si>
  <si>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</si>
  <si>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</si>
  <si>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</si>
  <si>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</si>
  <si>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</si>
  <si>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</si>
  <si>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</si>
  <si>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</si>
  <si>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</si>
  <si>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</si>
  <si>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</si>
  <si>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</si>
  <si>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</si>
  <si>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</si>
  <si>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</si>
  <si>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</si>
  <si>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</si>
  <si>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</si>
  <si>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</si>
  <si>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</si>
  <si>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</si>
  <si>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</si>
  <si>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</si>
  <si>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</si>
  <si>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</si>
  <si>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</si>
  <si>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</si>
  <si>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</si>
  <si>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</si>
  <si>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</si>
  <si>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</si>
  <si>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</si>
  <si>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</si>
  <si>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</si>
  <si>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</si>
  <si>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</si>
  <si>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</si>
  <si>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</si>
  <si>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</si>
  <si>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</si>
  <si>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</si>
  <si>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</si>
  <si>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</si>
  <si>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</si>
  <si>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</si>
  <si>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</si>
  <si>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</si>
  <si>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</si>
  <si>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</si>
  <si>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</si>
  <si>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</si>
  <si>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</si>
  <si>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</si>
  <si>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</si>
  <si>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</si>
  <si>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</si>
  <si>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</si>
  <si>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</si>
  <si>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</si>
  <si>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</si>
  <si>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</si>
  <si>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</si>
  <si>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</si>
  <si>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</si>
  <si>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</si>
  <si>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</si>
  <si>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</si>
  <si>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</si>
  <si>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</si>
  <si>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</si>
  <si>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</si>
  <si>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</si>
  <si>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</si>
  <si>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</si>
  <si>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</si>
  <si>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</si>
  <si>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</si>
  <si>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</si>
  <si>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</si>
  <si>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</si>
  <si>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</si>
  <si>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</si>
  <si>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</si>
  <si>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</si>
  <si>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</si>
  <si>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</si>
  <si>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</si>
  <si>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</si>
  <si>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</si>
  <si>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</si>
  <si>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</si>
  <si>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</si>
  <si>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</si>
  <si>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</si>
  <si>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</si>
  <si>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</si>
  <si>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</si>
  <si>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</si>
  <si>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</si>
  <si>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</si>
  <si>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</si>
  <si>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</si>
  <si>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</si>
  <si>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</si>
  <si>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</si>
  <si>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</si>
  <si>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</si>
  <si>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</si>
  <si>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</si>
  <si>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</si>
  <si>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</si>
  <si>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</si>
  <si>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</si>
  <si>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</si>
  <si>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</si>
  <si>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</si>
  <si>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</si>
  <si>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</si>
  <si>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</si>
  <si>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</si>
  <si>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</si>
  <si>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</si>
  <si>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</si>
  <si>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</si>
  <si>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</si>
  <si>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</si>
  <si>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</si>
  <si>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</si>
  <si>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</si>
  <si>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</si>
  <si>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</si>
  <si>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</si>
  <si>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</si>
  <si>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</si>
  <si>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</si>
  <si>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</si>
  <si>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</si>
  <si>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</si>
  <si>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</si>
  <si>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</si>
  <si>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</si>
  <si>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</si>
  <si>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</si>
  <si>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</si>
  <si>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</si>
  <si>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</si>
  <si>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</si>
  <si>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</si>
  <si>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</si>
  <si>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</si>
  <si>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</si>
  <si>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</si>
  <si>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</si>
  <si>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</si>
  <si>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</si>
  <si>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</si>
  <si>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</si>
  <si>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</si>
  <si>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</si>
  <si>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</si>
  <si>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</si>
  <si>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</si>
  <si>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</si>
  <si>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</si>
  <si>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</si>
  <si>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</si>
  <si>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</si>
  <si>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</si>
  <si>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</si>
  <si>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</si>
  <si>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</si>
  <si>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</si>
  <si>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</si>
  <si>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</si>
  <si>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</si>
  <si>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</si>
  <si>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</si>
  <si>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</si>
  <si>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</si>
  <si>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</si>
  <si>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</si>
  <si>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</si>
  <si>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</si>
  <si>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</si>
  <si>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</si>
  <si>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</si>
  <si>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</si>
  <si>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</si>
  <si>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</si>
  <si>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</si>
  <si>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</si>
  <si>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</si>
  <si>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</si>
  <si>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</si>
  <si>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</si>
  <si>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</si>
  <si>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</si>
  <si>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</si>
  <si>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</si>
  <si>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</si>
  <si>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</si>
  <si>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</si>
  <si>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</si>
  <si>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</si>
  <si>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</si>
  <si>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</si>
  <si>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</si>
  <si>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</si>
  <si>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</si>
  <si>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</si>
  <si>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</si>
  <si>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Qty</t>
  </si>
  <si>
    <t>Avg.Rating</t>
  </si>
  <si>
    <t>Avg.days</t>
  </si>
  <si>
    <t>Value of Display</t>
  </si>
  <si>
    <t>For Trends</t>
  </si>
  <si>
    <t>Row Labels</t>
  </si>
  <si>
    <t>Grand Total</t>
  </si>
  <si>
    <t>Column Labels</t>
  </si>
  <si>
    <t>Female</t>
  </si>
  <si>
    <t>Male</t>
  </si>
  <si>
    <t>Other</t>
  </si>
  <si>
    <t>Unknown</t>
  </si>
  <si>
    <t>For matrix</t>
  </si>
  <si>
    <t>6 to 10</t>
  </si>
  <si>
    <t>More than 10</t>
  </si>
  <si>
    <t>PRODUCT BY QTY</t>
  </si>
  <si>
    <t>Order Qty Analysis</t>
  </si>
  <si>
    <t>Geographical analysis</t>
  </si>
  <si>
    <t>state</t>
  </si>
  <si>
    <t>Maps for Qty</t>
  </si>
  <si>
    <t>Shipment Duration Analysis</t>
  </si>
  <si>
    <t>Customer satisfaction analysis</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</si>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</sst>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2" x14ac:knownFonts="1">
    <font>
      <sz val="11"/>
      <color theme="1"/>
      <name val="Times New Roman"/>
      <family val="2"/>
      <scheme val="minor"/>
    </font>
    <font>
      <b/>
      <sz val="11"/>
      <color theme="1"/>
      <name val="Times New Roman"/>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right/>
      <top/>
      <bottom style="thin">
        <color indexed="64"/>
      </bottom>
      <diagonal/>
    </border>
  </borders>
  <cellStyleXfs count="1">
    <xf numFmtId="0" fontId="0" fillId="0" borderId="0"/>
  </cellStyleXfs>
  <cellXfs count="14">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1" fillId="0" borderId="0" xfId="0" applyFont="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0" fontId="0" fillId="0" borderId="1" xfId="0" applyBorder="1"/>
    <xf numFmtId="165" fontId="0" fillId="0" borderId="1" xfId="0" applyNumberFormat="1" applyBorder="1"/>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FFD700"/>
      <color rgb="FFFDCFA1"/>
      <color rgb="FFEAC09E"/>
      <color rgb="FFE97705"/>
      <color rgb="FFFDD1A5"/>
      <color rgb="FFFCAB5A"/>
      <color rgb="FFC46404"/>
      <color rgb="FFFFFFFF"/>
      <color rgb="FF349014"/>
      <color rgb="FF45C0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[excel-sales-dashboard.xlsx]pivots!pvt treands</c:name>
    <c:fmtId val="6"/>
  </c:pivotSource>
  <c:chart>
    <c:title>
      <c:tx>
        <c:rich>
          <a:bodyPr rot="0" spcFirstLastPara="1" vertOverflow="ellipsis" vert="horz" wrap="square" anchor="ctr" anchorCtr="1"/>
          <a:lstStyle/>
          <a:p>
            <a:pPr lvl="3" algn="ctr" rtl="0">
              <a:defRPr sz="1100" b="1" i="0" u="none" strike="noStrike" kern="1200" spc="0" baseline="0">
                <a:solidFill>
                  <a:srgbClr val="000000">
                    <a:lumMod val="65000"/>
                    <a:lumOff val="35000"/>
                  </a:srgbClr>
                </a:solidFill>
                <a:latin typeface="+mj-lt"/>
                <a:ea typeface="+mn-ea"/>
                <a:cs typeface="+mn-cs"/>
              </a:defRPr>
            </a:pPr>
            <a:r>
              <a:rPr lang="en-IN" sz="1100" b="1" i="0" u="none" strike="noStrike" baseline="0">
                <a:effectLst/>
                <a:latin typeface="+mj-lt"/>
              </a:rPr>
              <a:t>Trend in the last 13 weeks - Qty &amp; Amount </a:t>
            </a:r>
            <a:endParaRPr lang="en-IN" sz="1100" b="1">
              <a:latin typeface="+mj-lt"/>
            </a:endParaRPr>
          </a:p>
        </c:rich>
      </c:tx>
      <c:layout>
        <c:manualLayout>
          <c:xMode val="edge"/>
          <c:yMode val="edge"/>
          <c:x val="0.13430467279194019"/>
          <c:y val="2.2748709246721788E-2"/>
        </c:manualLayout>
      </c:layout>
      <c:overlay val="0"/>
      <c:spPr>
        <a:noFill/>
        <a:ln>
          <a:noFill/>
        </a:ln>
        <a:effectLst/>
      </c:spPr>
      <c:txPr>
        <a:bodyPr rot="0" spcFirstLastPara="1" vertOverflow="ellipsis" vert="horz" wrap="square" anchor="ctr" anchorCtr="1"/>
        <a:lstStyle/>
        <a:p>
          <a:pPr lvl="3" algn="ctr" rtl="0">
            <a:defRPr sz="1100" b="1" i="0" u="none" strike="noStrike" kern="1200" spc="0" baseline="0">
              <a:solidFill>
                <a:srgbClr val="000000">
                  <a:lumMod val="65000"/>
                  <a:lumOff val="35000"/>
                </a:srgbClr>
              </a:solidFill>
              <a:latin typeface="+mj-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triangle"/>
          <c:size val="7"/>
          <c:spPr>
            <a:solidFill>
              <a:schemeClr val="accent2">
                <a:lumMod val="75000"/>
              </a:schemeClr>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triangle"/>
          <c:size val="5"/>
          <c:spPr>
            <a:solidFill>
              <a:schemeClr val="accent5">
                <a:lumMod val="50000"/>
              </a:schemeClr>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35838990707955"/>
          <c:y val="0.10827416920866063"/>
          <c:w val="0.72497068185625735"/>
          <c:h val="0.82299212598425198"/>
        </c:manualLayout>
      </c:layout>
      <c:lineChart>
        <c:grouping val="standard"/>
        <c:varyColors val="0"/>
        <c:ser>
          <c:idx val="1"/>
          <c:order val="1"/>
          <c:tx>
            <c:strRef>
              <c:f>pivots!$C$12</c:f>
              <c:strCache>
                <c:ptCount val="1"/>
                <c:pt idx="0">
                  <c:v>Sum of Amount</c:v>
                </c:pt>
              </c:strCache>
            </c:strRef>
          </c:tx>
          <c:spPr>
            <a:ln w="28575" cap="rnd">
              <a:solidFill>
                <a:schemeClr val="accent5"/>
              </a:solidFill>
              <a:round/>
            </a:ln>
            <a:effectLst/>
          </c:spPr>
          <c:marker>
            <c:symbol val="triangle"/>
            <c:size val="5"/>
            <c:spPr>
              <a:solidFill>
                <a:schemeClr val="accent5">
                  <a:lumMod val="50000"/>
                </a:schemeClr>
              </a:solidFill>
              <a:ln w="9525">
                <a:solidFill>
                  <a:schemeClr val="accent5"/>
                </a:solidFill>
              </a:ln>
              <a:effectLst/>
            </c:spPr>
          </c:marker>
          <c:cat>
            <c:strRef>
              <c:f>pivots!$A$13:$A$26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pivots!$C$13:$C$26</c:f>
              <c:numCache>
                <c:formatCode>[$$-409]#,##0</c:formatCode>
                <c:ptCount val="13"/>
                <c:pt idx="0">
                  <c:v>17757.399999999998</c:v>
                </c:pt>
                <c:pt idx="1">
                  <c:v>14515.7</c:v>
                </c:pt>
                <c:pt idx="2">
                  <c:v>16957.299999999996</c:v>
                </c:pt>
                <c:pt idx="3">
                  <c:v>16783.100000000002</c:v>
                </c:pt>
                <c:pt idx="4">
                  <c:v>14036.899999999998</c:v>
                </c:pt>
                <c:pt idx="5">
                  <c:v>22883.000000000015</c:v>
                </c:pt>
                <c:pt idx="6">
                  <c:v>22777.599999999988</c:v>
                </c:pt>
                <c:pt idx="7">
                  <c:v>31807.299999999996</c:v>
                </c:pt>
                <c:pt idx="8">
                  <c:v>28513.399999999991</c:v>
                </c:pt>
                <c:pt idx="9">
                  <c:v>32043.100000000006</c:v>
                </c:pt>
                <c:pt idx="10">
                  <c:v>20520.099999999999</c:v>
                </c:pt>
                <c:pt idx="11">
                  <c:v>29082.600000000006</c:v>
                </c:pt>
                <c:pt idx="12">
                  <c:v>23600.599999999988</c:v>
                </c:pt>
              </c:numCache>
            </c:numRef>
          </c:val>
          <c:smooth val="0"/>
          <c:extLst>
            <c:ext xmlns:c16="http://schemas.microsoft.com/office/drawing/2014/chart" uri="{C3380CC4-5D6E-409C-BE32-E72D297353CC}">
              <c16:uniqueId val="{00000001-A71D-408F-9384-35421216BDB0}"/>
            </c:ext>
          </c:extLst>
        </c:ser>
        <c:dLbls>
          <c:showLegendKey val="0"/>
          <c:showVal val="0"/>
          <c:showCatName val="0"/>
          <c:showSerName val="0"/>
          <c:showPercent val="0"/>
          <c:showBubbleSize val="0"/>
        </c:dLbls>
        <c:marker val="1"/>
        <c:smooth val="0"/>
        <c:axId val="470198752"/>
        <c:axId val="470184832"/>
      </c:lineChart>
      <c:lineChart>
        <c:grouping val="standard"/>
        <c:varyColors val="0"/>
        <c:ser>
          <c:idx val="0"/>
          <c:order val="0"/>
          <c:tx>
            <c:strRef>
              <c:f>pivots!$B$12</c:f>
              <c:strCache>
                <c:ptCount val="1"/>
                <c:pt idx="0">
                  <c:v>Sum of Quantity</c:v>
                </c:pt>
              </c:strCache>
            </c:strRef>
          </c:tx>
          <c:spPr>
            <a:ln w="28575" cap="rnd">
              <a:solidFill>
                <a:schemeClr val="accent6"/>
              </a:solidFill>
              <a:round/>
            </a:ln>
            <a:effectLst/>
          </c:spPr>
          <c:marker>
            <c:symbol val="triangle"/>
            <c:size val="7"/>
            <c:spPr>
              <a:solidFill>
                <a:schemeClr val="accent2">
                  <a:lumMod val="75000"/>
                </a:schemeClr>
              </a:solidFill>
              <a:ln w="9525">
                <a:solidFill>
                  <a:schemeClr val="accent6"/>
                </a:solidFill>
              </a:ln>
              <a:effectLst/>
            </c:spPr>
          </c:marker>
          <c:cat>
            <c:strRef>
              <c:f>pivots!$A$13:$A$26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pivots!$B$13:$B$26</c:f>
              <c:numCache>
                <c:formatCode>General</c:formatCode>
                <c:ptCount val="13"/>
                <c:pt idx="0">
                  <c:v>281</c:v>
                </c:pt>
                <c:pt idx="1">
                  <c:v>319</c:v>
                </c:pt>
                <c:pt idx="2">
                  <c:v>355</c:v>
                </c:pt>
                <c:pt idx="3">
                  <c:v>356</c:v>
                </c:pt>
                <c:pt idx="4">
                  <c:v>281</c:v>
                </c:pt>
                <c:pt idx="5">
                  <c:v>432</c:v>
                </c:pt>
                <c:pt idx="6">
                  <c:v>393</c:v>
                </c:pt>
                <c:pt idx="7">
                  <c:v>639</c:v>
                </c:pt>
                <c:pt idx="8">
                  <c:v>540</c:v>
                </c:pt>
                <c:pt idx="9">
                  <c:v>558</c:v>
                </c:pt>
                <c:pt idx="10">
                  <c:v>390</c:v>
                </c:pt>
                <c:pt idx="11">
                  <c:v>481</c:v>
                </c:pt>
                <c:pt idx="12">
                  <c:v>383</c:v>
                </c:pt>
              </c:numCache>
            </c:numRef>
          </c:val>
          <c:smooth val="0"/>
          <c:extLst>
            <c:ext xmlns:c16="http://schemas.microsoft.com/office/drawing/2014/chart" uri="{C3380CC4-5D6E-409C-BE32-E72D297353CC}">
              <c16:uniqueId val="{00000000-A71D-408F-9384-35421216BDB0}"/>
            </c:ext>
          </c:extLst>
        </c:ser>
        <c:dLbls>
          <c:showLegendKey val="0"/>
          <c:showVal val="0"/>
          <c:showCatName val="0"/>
          <c:showSerName val="0"/>
          <c:showPercent val="0"/>
          <c:showBubbleSize val="0"/>
        </c:dLbls>
        <c:marker val="1"/>
        <c:smooth val="0"/>
        <c:axId val="259845951"/>
        <c:axId val="259858911"/>
      </c:lineChart>
      <c:catAx>
        <c:axId val="47019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184832"/>
        <c:crosses val="autoZero"/>
        <c:auto val="1"/>
        <c:lblAlgn val="ctr"/>
        <c:lblOffset val="100"/>
        <c:noMultiLvlLbl val="0"/>
      </c:catAx>
      <c:valAx>
        <c:axId val="470184832"/>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198752"/>
        <c:crosses val="autoZero"/>
        <c:crossBetween val="between"/>
      </c:valAx>
      <c:valAx>
        <c:axId val="2598589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45951"/>
        <c:crosses val="max"/>
        <c:crossBetween val="between"/>
      </c:valAx>
      <c:catAx>
        <c:axId val="259845951"/>
        <c:scaling>
          <c:orientation val="minMax"/>
        </c:scaling>
        <c:delete val="1"/>
        <c:axPos val="b"/>
        <c:numFmt formatCode="General" sourceLinked="1"/>
        <c:majorTickMark val="out"/>
        <c:minorTickMark val="none"/>
        <c:tickLblPos val="nextTo"/>
        <c:crossAx val="259858911"/>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[excel-sales-dashboard.xlsx]pivots!Pvt order analysis</c:name>
    <c:fmtId val="2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effectLst/>
              </a:rPr>
              <a:t>How many they buy? </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543471539741745E-2"/>
          <c:y val="0.13993348267651778"/>
          <c:w val="0.86803965293811958"/>
          <c:h val="0.70228840206855336"/>
        </c:manualLayout>
      </c:layout>
      <c:barChart>
        <c:barDir val="col"/>
        <c:grouping val="clustered"/>
        <c:varyColors val="0"/>
        <c:ser>
          <c:idx val="0"/>
          <c:order val="0"/>
          <c:tx>
            <c:strRef>
              <c:f>pivots!$B$37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pivots!$A$38:$A$45</c:f>
              <c:strCache>
                <c:ptCount val="7"/>
                <c:pt idx="0">
                  <c:v>1</c:v>
                </c:pt>
                <c:pt idx="1">
                  <c:v>2</c:v>
                </c:pt>
                <c:pt idx="2">
                  <c:v>3</c:v>
                </c:pt>
                <c:pt idx="3">
                  <c:v>4</c:v>
                </c:pt>
                <c:pt idx="4">
                  <c:v>5</c:v>
                </c:pt>
                <c:pt idx="5">
                  <c:v>6 to 10</c:v>
                </c:pt>
                <c:pt idx="6">
                  <c:v>More than 10</c:v>
                </c:pt>
              </c:strCache>
            </c:strRef>
          </c:cat>
          <c:val>
            <c:numRef>
              <c:f>pivots!$B$38:$B$45</c:f>
              <c:numCache>
                <c:formatCode>General</c:formatCode>
                <c:ptCount val="7"/>
                <c:pt idx="0">
                  <c:v>179</c:v>
                </c:pt>
                <c:pt idx="1">
                  <c:v>272</c:v>
                </c:pt>
                <c:pt idx="2">
                  <c:v>164</c:v>
                </c:pt>
                <c:pt idx="3">
                  <c:v>113</c:v>
                </c:pt>
                <c:pt idx="4">
                  <c:v>90</c:v>
                </c:pt>
                <c:pt idx="5">
                  <c:v>169</c:v>
                </c:pt>
                <c:pt idx="6">
                  <c:v>107</c:v>
                </c:pt>
              </c:numCache>
            </c:numRef>
          </c:val>
          <c:extLst>
            <c:ext xmlns:c16="http://schemas.microsoft.com/office/drawing/2014/chart" uri="{C3380CC4-5D6E-409C-BE32-E72D297353CC}">
              <c16:uniqueId val="{00000000-40ED-42A2-80CD-AE69BD059443}"/>
            </c:ext>
          </c:extLst>
        </c:ser>
        <c:dLbls>
          <c:dLblPos val="outEnd"/>
          <c:showLegendKey val="0"/>
          <c:showVal val="1"/>
          <c:showCatName val="0"/>
          <c:showSerName val="0"/>
          <c:showPercent val="0"/>
          <c:showBubbleSize val="0"/>
        </c:dLbls>
        <c:gapWidth val="26"/>
        <c:overlap val="-4"/>
        <c:axId val="470193952"/>
        <c:axId val="470188192"/>
      </c:barChart>
      <c:catAx>
        <c:axId val="470193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188192"/>
        <c:crosses val="autoZero"/>
        <c:auto val="1"/>
        <c:lblAlgn val="ctr"/>
        <c:lblOffset val="100"/>
        <c:noMultiLvlLbl val="0"/>
      </c:catAx>
      <c:valAx>
        <c:axId val="47018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193952"/>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[excel-sales-dashboard.xlsx]pivots!pvt product by Qty</c:name>
    <c:fmtId val="36"/>
  </c:pivotSource>
  <c:chart>
    <c:title>
      <c:tx>
        <c:rich>
          <a:bodyPr rot="0" spcFirstLastPara="1" vertOverflow="ellipsis" vert="horz" wrap="square" anchor="b" anchorCtr="0"/>
          <a:lstStyle/>
          <a:p>
            <a:pPr algn="l">
              <a:defRPr sz="1400" b="0" i="0" u="none" strike="noStrike" kern="1200" spc="0" baseline="0">
                <a:ln>
                  <a:noFill/>
                </a:ln>
                <a:solidFill>
                  <a:schemeClr val="tx1"/>
                </a:solidFill>
                <a:latin typeface="+mn-lt"/>
                <a:ea typeface="+mn-ea"/>
                <a:cs typeface="+mn-cs"/>
              </a:defRPr>
            </a:pPr>
            <a:r>
              <a:rPr lang="en-IN" sz="1400" b="1" i="0" u="none" strike="noStrike" baseline="0">
                <a:ln>
                  <a:noFill/>
                </a:ln>
                <a:solidFill>
                  <a:schemeClr val="tx1"/>
                </a:solidFill>
                <a:effectLst/>
              </a:rPr>
              <a:t>Which products are popular? Breakdown by Gender</a:t>
            </a:r>
            <a:endParaRPr lang="en-IN" b="1">
              <a:ln>
                <a:noFill/>
              </a:ln>
              <a:solidFill>
                <a:schemeClr val="tx1"/>
              </a:solidFill>
            </a:endParaRPr>
          </a:p>
        </c:rich>
      </c:tx>
      <c:layout>
        <c:manualLayout>
          <c:xMode val="edge"/>
          <c:yMode val="edge"/>
          <c:x val="2.9453334462224479E-2"/>
          <c:y val="1.638001638001638E-2"/>
        </c:manualLayout>
      </c:layout>
      <c:overlay val="0"/>
      <c:spPr>
        <a:noFill/>
        <a:ln>
          <a:noFill/>
        </a:ln>
        <a:effectLst/>
      </c:spPr>
      <c:txPr>
        <a:bodyPr rot="0" spcFirstLastPara="1" vertOverflow="ellipsis" vert="horz" wrap="square" anchor="b" anchorCtr="0"/>
        <a:lstStyle/>
        <a:p>
          <a:pPr algn="l">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pivots!$B$49:$B$50</c:f>
              <c:strCache>
                <c:ptCount val="1"/>
                <c:pt idx="0">
                  <c:v>Male</c:v>
                </c:pt>
              </c:strCache>
            </c:strRef>
          </c:tx>
          <c:spPr>
            <a:solidFill>
              <a:schemeClr val="accent1"/>
            </a:solidFill>
            <a:ln>
              <a:noFill/>
            </a:ln>
            <a:effectLst/>
          </c:spPr>
          <c:invertIfNegative val="0"/>
          <c:cat>
            <c:strRef>
              <c:f>pivots!$A$51:$A$71</c:f>
              <c:strCache>
                <c:ptCount val="20"/>
                <c:pt idx="0">
                  <c:v>Jeans</c:v>
                </c:pt>
                <c:pt idx="1">
                  <c:v>T-Shirts</c:v>
                </c:pt>
                <c:pt idx="2">
                  <c:v>Sneakers</c:v>
                </c:pt>
                <c:pt idx="3">
                  <c:v>Hoodies &amp; Sweatshirts</c:v>
                </c:pt>
                <c:pt idx="4">
                  <c:v>Tank Tops</c:v>
                </c:pt>
                <c:pt idx="5">
                  <c:v>Bikinis</c:v>
                </c:pt>
                <c:pt idx="6">
                  <c:v>Shorts</c:v>
                </c:pt>
                <c:pt idx="7">
                  <c:v>Sandals</c:v>
                </c:pt>
                <c:pt idx="8">
                  <c:v>Crop Tops</c:v>
                </c:pt>
                <c:pt idx="9">
                  <c:v>Sundresses</c:v>
                </c:pt>
                <c:pt idx="10">
                  <c:v>Graphic Tees</c:v>
                </c:pt>
                <c:pt idx="11">
                  <c:v>Leggings</c:v>
                </c:pt>
                <c:pt idx="12">
                  <c:v>Pajama Sets</c:v>
                </c:pt>
                <c:pt idx="13">
                  <c:v>Workout Tops</c:v>
                </c:pt>
                <c:pt idx="14">
                  <c:v>Casual Dresses</c:v>
                </c:pt>
                <c:pt idx="15">
                  <c:v>Tote Bags</c:v>
                </c:pt>
                <c:pt idx="16">
                  <c:v>Baseball Caps</c:v>
                </c:pt>
                <c:pt idx="17">
                  <c:v>Sunglasses</c:v>
                </c:pt>
                <c:pt idx="18">
                  <c:v>Maxi Dresses</c:v>
                </c:pt>
                <c:pt idx="19">
                  <c:v>Jewelry</c:v>
                </c:pt>
              </c:strCache>
            </c:strRef>
          </c:cat>
          <c:val>
            <c:numRef>
              <c:f>pivots!$B$51:$B$71</c:f>
              <c:numCache>
                <c:formatCode>General</c:formatCode>
                <c:ptCount val="20"/>
                <c:pt idx="0">
                  <c:v>598</c:v>
                </c:pt>
                <c:pt idx="1">
                  <c:v>713</c:v>
                </c:pt>
                <c:pt idx="2">
                  <c:v>393</c:v>
                </c:pt>
                <c:pt idx="3">
                  <c:v>318</c:v>
                </c:pt>
                <c:pt idx="4">
                  <c:v>306</c:v>
                </c:pt>
                <c:pt idx="5">
                  <c:v>295</c:v>
                </c:pt>
                <c:pt idx="6">
                  <c:v>293</c:v>
                </c:pt>
                <c:pt idx="7">
                  <c:v>275</c:v>
                </c:pt>
                <c:pt idx="8">
                  <c:v>246</c:v>
                </c:pt>
                <c:pt idx="9">
                  <c:v>202</c:v>
                </c:pt>
                <c:pt idx="10">
                  <c:v>187</c:v>
                </c:pt>
                <c:pt idx="11">
                  <c:v>168</c:v>
                </c:pt>
                <c:pt idx="12">
                  <c:v>118</c:v>
                </c:pt>
                <c:pt idx="13">
                  <c:v>94</c:v>
                </c:pt>
                <c:pt idx="14">
                  <c:v>93</c:v>
                </c:pt>
                <c:pt idx="15">
                  <c:v>103</c:v>
                </c:pt>
                <c:pt idx="16">
                  <c:v>90</c:v>
                </c:pt>
                <c:pt idx="17">
                  <c:v>69</c:v>
                </c:pt>
                <c:pt idx="18">
                  <c:v>76</c:v>
                </c:pt>
                <c:pt idx="19">
                  <c:v>35</c:v>
                </c:pt>
              </c:numCache>
            </c:numRef>
          </c:val>
          <c:extLst>
            <c:ext xmlns:c16="http://schemas.microsoft.com/office/drawing/2014/chart" uri="{C3380CC4-5D6E-409C-BE32-E72D297353CC}">
              <c16:uniqueId val="{00000000-AB23-4F44-8EF2-D16450DFD1D3}"/>
            </c:ext>
          </c:extLst>
        </c:ser>
        <c:ser>
          <c:idx val="1"/>
          <c:order val="1"/>
          <c:tx>
            <c:strRef>
              <c:f>pivots!$C$49:$C$50</c:f>
              <c:strCache>
                <c:ptCount val="1"/>
                <c:pt idx="0">
                  <c:v>Unknown</c:v>
                </c:pt>
              </c:strCache>
            </c:strRef>
          </c:tx>
          <c:spPr>
            <a:solidFill>
              <a:schemeClr val="accent2"/>
            </a:solidFill>
            <a:ln>
              <a:noFill/>
            </a:ln>
            <a:effectLst/>
          </c:spPr>
          <c:invertIfNegative val="0"/>
          <c:cat>
            <c:strRef>
              <c:f>pivots!$A$51:$A$71</c:f>
              <c:strCache>
                <c:ptCount val="20"/>
                <c:pt idx="0">
                  <c:v>Jeans</c:v>
                </c:pt>
                <c:pt idx="1">
                  <c:v>T-Shirts</c:v>
                </c:pt>
                <c:pt idx="2">
                  <c:v>Sneakers</c:v>
                </c:pt>
                <c:pt idx="3">
                  <c:v>Hoodies &amp; Sweatshirts</c:v>
                </c:pt>
                <c:pt idx="4">
                  <c:v>Tank Tops</c:v>
                </c:pt>
                <c:pt idx="5">
                  <c:v>Bikinis</c:v>
                </c:pt>
                <c:pt idx="6">
                  <c:v>Shorts</c:v>
                </c:pt>
                <c:pt idx="7">
                  <c:v>Sandals</c:v>
                </c:pt>
                <c:pt idx="8">
                  <c:v>Crop Tops</c:v>
                </c:pt>
                <c:pt idx="9">
                  <c:v>Sundresses</c:v>
                </c:pt>
                <c:pt idx="10">
                  <c:v>Graphic Tees</c:v>
                </c:pt>
                <c:pt idx="11">
                  <c:v>Leggings</c:v>
                </c:pt>
                <c:pt idx="12">
                  <c:v>Pajama Sets</c:v>
                </c:pt>
                <c:pt idx="13">
                  <c:v>Workout Tops</c:v>
                </c:pt>
                <c:pt idx="14">
                  <c:v>Casual Dresses</c:v>
                </c:pt>
                <c:pt idx="15">
                  <c:v>Tote Bags</c:v>
                </c:pt>
                <c:pt idx="16">
                  <c:v>Baseball Caps</c:v>
                </c:pt>
                <c:pt idx="17">
                  <c:v>Sunglasses</c:v>
                </c:pt>
                <c:pt idx="18">
                  <c:v>Maxi Dresses</c:v>
                </c:pt>
                <c:pt idx="19">
                  <c:v>Jewelry</c:v>
                </c:pt>
              </c:strCache>
            </c:strRef>
          </c:cat>
          <c:val>
            <c:numRef>
              <c:f>pivots!$C$51:$C$71</c:f>
              <c:numCache>
                <c:formatCode>General</c:formatCode>
                <c:ptCount val="20"/>
                <c:pt idx="0">
                  <c:v>214</c:v>
                </c:pt>
                <c:pt idx="1">
                  <c:v>98</c:v>
                </c:pt>
                <c:pt idx="2">
                  <c:v>137</c:v>
                </c:pt>
                <c:pt idx="3">
                  <c:v>9</c:v>
                </c:pt>
                <c:pt idx="4">
                  <c:v>16</c:v>
                </c:pt>
                <c:pt idx="5">
                  <c:v>22</c:v>
                </c:pt>
                <c:pt idx="6">
                  <c:v>24</c:v>
                </c:pt>
                <c:pt idx="7">
                  <c:v>23</c:v>
                </c:pt>
                <c:pt idx="8">
                  <c:v>8</c:v>
                </c:pt>
                <c:pt idx="9">
                  <c:v>39</c:v>
                </c:pt>
                <c:pt idx="10">
                  <c:v>15</c:v>
                </c:pt>
                <c:pt idx="11">
                  <c:v>31</c:v>
                </c:pt>
                <c:pt idx="12">
                  <c:v>12</c:v>
                </c:pt>
                <c:pt idx="13">
                  <c:v>28</c:v>
                </c:pt>
                <c:pt idx="14">
                  <c:v>24</c:v>
                </c:pt>
                <c:pt idx="15">
                  <c:v>6</c:v>
                </c:pt>
                <c:pt idx="16">
                  <c:v>6</c:v>
                </c:pt>
                <c:pt idx="17">
                  <c:v>24</c:v>
                </c:pt>
              </c:numCache>
            </c:numRef>
          </c:val>
          <c:extLst>
            <c:ext xmlns:c16="http://schemas.microsoft.com/office/drawing/2014/chart" uri="{C3380CC4-5D6E-409C-BE32-E72D297353CC}">
              <c16:uniqueId val="{00000013-6EF1-4D69-8403-91A6024A844C}"/>
            </c:ext>
          </c:extLst>
        </c:ser>
        <c:dLbls>
          <c:showLegendKey val="0"/>
          <c:showVal val="0"/>
          <c:showCatName val="0"/>
          <c:showSerName val="0"/>
          <c:showPercent val="0"/>
          <c:showBubbleSize val="0"/>
        </c:dLbls>
        <c:gapWidth val="50"/>
        <c:overlap val="100"/>
        <c:axId val="642308864"/>
        <c:axId val="642298304"/>
      </c:barChart>
      <c:catAx>
        <c:axId val="642308864"/>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298304"/>
        <c:crosses val="autoZero"/>
        <c:auto val="1"/>
        <c:lblAlgn val="ctr"/>
        <c:lblOffset val="100"/>
        <c:noMultiLvlLbl val="0"/>
      </c:catAx>
      <c:valAx>
        <c:axId val="64229830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308864"/>
        <c:crosses val="autoZero"/>
        <c:crossBetween val="between"/>
      </c:valAx>
      <c:spPr>
        <a:noFill/>
        <a:ln w="0">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[excel-sales-dashboard.xlsx]pivots!Pvt Gender</c:name>
    <c:fmtId val="46"/>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dLbl>
          <c:idx val="0"/>
          <c:layout>
            <c:manualLayout>
              <c:x val="0.15782657101389527"/>
              <c:y val="0.2129274148234131"/>
            </c:manualLayout>
          </c:layout>
          <c:spPr>
            <a:no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170255826455433"/>
                  <c:h val="0.27064543939306857"/>
                </c:manualLayout>
              </c15:layout>
            </c:ext>
          </c:extLst>
        </c:dLbl>
      </c:pivotFmt>
      <c:pivotFmt>
        <c:idx val="8"/>
        <c:spPr>
          <a:solidFill>
            <a:schemeClr val="accent6"/>
          </a:solidFill>
          <a:ln w="19050">
            <a:solidFill>
              <a:schemeClr val="lt1"/>
            </a:solidFill>
          </a:ln>
          <a:effectLst/>
        </c:spPr>
        <c:dLbl>
          <c:idx val="0"/>
          <c:layout>
            <c:manualLayout>
              <c:x val="-0.13045279497935633"/>
              <c:y val="0.24218913869440006"/>
            </c:manualLayout>
          </c:layout>
          <c:spPr>
            <a:no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490971761059982"/>
                  <c:h val="0.24941126884686854"/>
                </c:manualLayout>
              </c15:layout>
            </c:ext>
          </c:extLst>
        </c:dLbl>
      </c:pivotFmt>
      <c:pivotFmt>
        <c:idx val="9"/>
        <c:spPr>
          <a:solidFill>
            <a:schemeClr val="accent6"/>
          </a:solidFill>
          <a:ln w="19050">
            <a:solidFill>
              <a:schemeClr val="lt1"/>
            </a:solidFill>
          </a:ln>
          <a:effectLst/>
        </c:spPr>
        <c:dLbl>
          <c:idx val="0"/>
          <c:layout>
            <c:manualLayout>
              <c:x val="-0.2036800947205866"/>
              <c:y val="-0.15204362658274581"/>
            </c:manualLayout>
          </c:layout>
          <c:spPr>
            <a:no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5994848470028201"/>
                  <c:h val="0.26000194420141925"/>
                </c:manualLayout>
              </c15:layout>
            </c:ext>
          </c:extLst>
        </c:dLbl>
      </c:pivotFmt>
      <c:pivotFmt>
        <c:idx val="10"/>
        <c:spPr>
          <a:solidFill>
            <a:schemeClr val="accent6"/>
          </a:solidFill>
          <a:ln w="19050">
            <a:solidFill>
              <a:schemeClr val="lt1"/>
            </a:solidFill>
          </a:ln>
          <a:effectLst/>
        </c:spPr>
        <c:dLbl>
          <c:idx val="0"/>
          <c:layout>
            <c:manualLayout>
              <c:x val="0.33201154203550653"/>
              <c:y val="-0.12550364537766112"/>
            </c:manualLayout>
          </c:layout>
          <c:spPr>
            <a:no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784450856686386"/>
                  <c:h val="0.28891066394478471"/>
                </c:manualLayout>
              </c15:layout>
            </c:ext>
          </c:extLst>
        </c:dLbl>
      </c:pivotFmt>
    </c:pivotFmts>
    <c:plotArea>
      <c:layout>
        <c:manualLayout>
          <c:layoutTarget val="inner"/>
          <c:xMode val="edge"/>
          <c:yMode val="edge"/>
          <c:x val="0.30006601619831086"/>
          <c:y val="0.37473672176621292"/>
          <c:w val="0.35551512957432047"/>
          <c:h val="0.40697154784607531"/>
        </c:manualLayout>
      </c:layout>
      <c:doughnutChart>
        <c:varyColors val="1"/>
        <c:ser>
          <c:idx val="0"/>
          <c:order val="0"/>
          <c:tx>
            <c:strRef>
              <c:f>pivots!$K$49</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4676-465A-93CF-5A4886E70F6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676-465A-93CF-5A4886E70F6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676-465A-93CF-5A4886E70F6F}"/>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4676-465A-93CF-5A4886E70F6F}"/>
              </c:ext>
            </c:extLst>
          </c:dPt>
          <c:dLbls>
            <c:dLbl>
              <c:idx val="0"/>
              <c:layout>
                <c:manualLayout>
                  <c:x val="-0.13045279497935633"/>
                  <c:y val="0.24218913869440006"/>
                </c:manualLayout>
              </c:layout>
              <c:spPr>
                <a:no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490971761059982"/>
                      <c:h val="0.24941126884686854"/>
                    </c:manualLayout>
                  </c15:layout>
                </c:ext>
                <c:ext xmlns:c16="http://schemas.microsoft.com/office/drawing/2014/chart" uri="{C3380CC4-5D6E-409C-BE32-E72D297353CC}">
                  <c16:uniqueId val="{00000001-4676-465A-93CF-5A4886E70F6F}"/>
                </c:ext>
              </c:extLst>
            </c:dLbl>
            <c:dLbl>
              <c:idx val="1"/>
              <c:layout>
                <c:manualLayout>
                  <c:x val="0.33201154203550653"/>
                  <c:y val="-0.12550364537766112"/>
                </c:manualLayout>
              </c:layout>
              <c:spPr>
                <a:no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784450856686386"/>
                      <c:h val="0.28891066394478471"/>
                    </c:manualLayout>
                  </c15:layout>
                </c:ext>
                <c:ext xmlns:c16="http://schemas.microsoft.com/office/drawing/2014/chart" uri="{C3380CC4-5D6E-409C-BE32-E72D297353CC}">
                  <c16:uniqueId val="{00000003-4676-465A-93CF-5A4886E70F6F}"/>
                </c:ext>
              </c:extLst>
            </c:dLbl>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pivots!$J$50:$J$52</c:f>
              <c:strCache>
                <c:ptCount val="2"/>
                <c:pt idx="0">
                  <c:v>Male</c:v>
                </c:pt>
                <c:pt idx="1">
                  <c:v>Unknown</c:v>
                </c:pt>
              </c:strCache>
            </c:strRef>
          </c:cat>
          <c:val>
            <c:numRef>
              <c:f>pivots!$K$50:$K$52</c:f>
              <c:numCache>
                <c:formatCode>General</c:formatCode>
                <c:ptCount val="2"/>
                <c:pt idx="0">
                  <c:v>4672</c:v>
                </c:pt>
                <c:pt idx="1">
                  <c:v>736</c:v>
                </c:pt>
              </c:numCache>
            </c:numRef>
          </c:val>
          <c:extLst>
            <c:ext xmlns:c16="http://schemas.microsoft.com/office/drawing/2014/chart" uri="{C3380CC4-5D6E-409C-BE32-E72D297353CC}">
              <c16:uniqueId val="{00000008-4676-465A-93CF-5A4886E70F6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[excel-sales-dashboard.xlsx]pivots!Pvt Duration</c:name>
    <c:fmtId val="5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b="1">
                <a:latin typeface="+mj-lt"/>
              </a:rPr>
              <a:t>How long do we take to ship ?</a:t>
            </a:r>
          </a:p>
        </c:rich>
      </c:tx>
      <c:layout>
        <c:manualLayout>
          <c:xMode val="edge"/>
          <c:yMode val="edge"/>
          <c:x val="0.2048745037523575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76761761563726"/>
          <c:y val="0.104575258045464"/>
          <c:w val="0.85243171236761239"/>
          <c:h val="0.77700467140377305"/>
        </c:manualLayout>
      </c:layout>
      <c:barChart>
        <c:barDir val="col"/>
        <c:grouping val="clustered"/>
        <c:varyColors val="0"/>
        <c:ser>
          <c:idx val="0"/>
          <c:order val="0"/>
          <c:tx>
            <c:strRef>
              <c:f>pivots!$B$141</c:f>
              <c:strCache>
                <c:ptCount val="1"/>
                <c:pt idx="0">
                  <c:v>Total</c:v>
                </c:pt>
              </c:strCache>
            </c:strRef>
          </c:tx>
          <c:spPr>
            <a:solidFill>
              <a:schemeClr val="accent6"/>
            </a:solidFill>
            <a:ln>
              <a:noFill/>
            </a:ln>
            <a:effectLst/>
          </c:spPr>
          <c:invertIfNegative val="0"/>
          <c:cat>
            <c:strRef>
              <c:f>pivots!$A$142:$A$156</c:f>
              <c:strCache>
                <c:ptCount val="14"/>
                <c:pt idx="0">
                  <c:v>0</c:v>
                </c:pt>
                <c:pt idx="1">
                  <c:v>1</c:v>
                </c:pt>
                <c:pt idx="2">
                  <c:v>2</c:v>
                </c:pt>
                <c:pt idx="3">
                  <c:v>3</c:v>
                </c:pt>
                <c:pt idx="4">
                  <c:v>4</c:v>
                </c:pt>
                <c:pt idx="5">
                  <c:v>5</c:v>
                </c:pt>
                <c:pt idx="6">
                  <c:v>6</c:v>
                </c:pt>
                <c:pt idx="7">
                  <c:v>7</c:v>
                </c:pt>
                <c:pt idx="8">
                  <c:v>8</c:v>
                </c:pt>
                <c:pt idx="9">
                  <c:v>9</c:v>
                </c:pt>
                <c:pt idx="10">
                  <c:v>10</c:v>
                </c:pt>
                <c:pt idx="11">
                  <c:v>11</c:v>
                </c:pt>
                <c:pt idx="12">
                  <c:v>12</c:v>
                </c:pt>
                <c:pt idx="13">
                  <c:v>14</c:v>
                </c:pt>
              </c:strCache>
            </c:strRef>
          </c:cat>
          <c:val>
            <c:numRef>
              <c:f>pivots!$B$142:$B$156</c:f>
              <c:numCache>
                <c:formatCode>General</c:formatCode>
                <c:ptCount val="14"/>
                <c:pt idx="0">
                  <c:v>81</c:v>
                </c:pt>
                <c:pt idx="1">
                  <c:v>435</c:v>
                </c:pt>
                <c:pt idx="2">
                  <c:v>226</c:v>
                </c:pt>
                <c:pt idx="3">
                  <c:v>154</c:v>
                </c:pt>
                <c:pt idx="4">
                  <c:v>89</c:v>
                </c:pt>
                <c:pt idx="5">
                  <c:v>38</c:v>
                </c:pt>
                <c:pt idx="6">
                  <c:v>26</c:v>
                </c:pt>
                <c:pt idx="7">
                  <c:v>17</c:v>
                </c:pt>
                <c:pt idx="8">
                  <c:v>5</c:v>
                </c:pt>
                <c:pt idx="9">
                  <c:v>3</c:v>
                </c:pt>
                <c:pt idx="10">
                  <c:v>7</c:v>
                </c:pt>
                <c:pt idx="11">
                  <c:v>5</c:v>
                </c:pt>
                <c:pt idx="12">
                  <c:v>2</c:v>
                </c:pt>
                <c:pt idx="13">
                  <c:v>6</c:v>
                </c:pt>
              </c:numCache>
            </c:numRef>
          </c:val>
          <c:extLst>
            <c:ext xmlns:c16="http://schemas.microsoft.com/office/drawing/2014/chart" uri="{C3380CC4-5D6E-409C-BE32-E72D297353CC}">
              <c16:uniqueId val="{00000000-B5D5-4D6F-897D-C69E2420C95B}"/>
            </c:ext>
          </c:extLst>
        </c:ser>
        <c:dLbls>
          <c:showLegendKey val="0"/>
          <c:showVal val="0"/>
          <c:showCatName val="0"/>
          <c:showSerName val="0"/>
          <c:showPercent val="0"/>
          <c:showBubbleSize val="0"/>
        </c:dLbls>
        <c:gapWidth val="41"/>
        <c:overlap val="-27"/>
        <c:axId val="38545567"/>
        <c:axId val="38533567"/>
      </c:barChart>
      <c:catAx>
        <c:axId val="3854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33567"/>
        <c:crosses val="autoZero"/>
        <c:auto val="1"/>
        <c:lblAlgn val="ctr"/>
        <c:lblOffset val="100"/>
        <c:noMultiLvlLbl val="0"/>
      </c:catAx>
      <c:valAx>
        <c:axId val="38533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4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[excel-sales-dashboard.xlsx]pivots!Pvt Rating</c:name>
    <c:fmtId val="7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latin typeface="+mj-lt"/>
              </a:rPr>
              <a:t>how</a:t>
            </a:r>
            <a:r>
              <a:rPr lang="en-IN" b="1" baseline="0">
                <a:latin typeface="+mj-lt"/>
              </a:rPr>
              <a:t> satisfied our customer are?</a:t>
            </a:r>
            <a:endParaRPr lang="en-IN" b="1">
              <a:latin typeface="+mj-lt"/>
            </a:endParaRPr>
          </a:p>
        </c:rich>
      </c:tx>
      <c:layout>
        <c:manualLayout>
          <c:xMode val="edge"/>
          <c:yMode val="edge"/>
          <c:x val="0.20902551800189595"/>
          <c:y val="0"/>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71051223019729"/>
          <c:y val="9.2352050379134257E-2"/>
          <c:w val="0.87063346811378306"/>
          <c:h val="0.80306925131210816"/>
        </c:manualLayout>
      </c:layout>
      <c:barChart>
        <c:barDir val="col"/>
        <c:grouping val="clustered"/>
        <c:varyColors val="0"/>
        <c:ser>
          <c:idx val="0"/>
          <c:order val="0"/>
          <c:tx>
            <c:strRef>
              <c:f>pivots!$B$163:$B$164</c:f>
              <c:strCache>
                <c:ptCount val="1"/>
                <c:pt idx="0">
                  <c:v>1</c:v>
                </c:pt>
              </c:strCache>
            </c:strRef>
          </c:tx>
          <c:spPr>
            <a:solidFill>
              <a:schemeClr val="accent1"/>
            </a:solidFill>
            <a:ln>
              <a:noFill/>
            </a:ln>
            <a:effectLst/>
          </c:spPr>
          <c:invertIfNegative val="0"/>
          <c:cat>
            <c:strRef>
              <c:f>pivots!$A$165:$A$168</c:f>
              <c:strCache>
                <c:ptCount val="3"/>
                <c:pt idx="0">
                  <c:v>Jan</c:v>
                </c:pt>
                <c:pt idx="1">
                  <c:v>Feb</c:v>
                </c:pt>
                <c:pt idx="2">
                  <c:v>Mar</c:v>
                </c:pt>
              </c:strCache>
            </c:strRef>
          </c:cat>
          <c:val>
            <c:numRef>
              <c:f>pivots!$B$165:$B$168</c:f>
              <c:numCache>
                <c:formatCode>General</c:formatCode>
                <c:ptCount val="3"/>
                <c:pt idx="0">
                  <c:v>1</c:v>
                </c:pt>
                <c:pt idx="1">
                  <c:v>2</c:v>
                </c:pt>
                <c:pt idx="2">
                  <c:v>2</c:v>
                </c:pt>
              </c:numCache>
            </c:numRef>
          </c:val>
          <c:extLst>
            <c:ext xmlns:c16="http://schemas.microsoft.com/office/drawing/2014/chart" uri="{C3380CC4-5D6E-409C-BE32-E72D297353CC}">
              <c16:uniqueId val="{00000000-D8F7-4F53-A3A3-5EE2C941F179}"/>
            </c:ext>
          </c:extLst>
        </c:ser>
        <c:ser>
          <c:idx val="1"/>
          <c:order val="1"/>
          <c:tx>
            <c:strRef>
              <c:f>pivots!$C$163:$C$164</c:f>
              <c:strCache>
                <c:ptCount val="1"/>
                <c:pt idx="0">
                  <c:v>2</c:v>
                </c:pt>
              </c:strCache>
            </c:strRef>
          </c:tx>
          <c:spPr>
            <a:solidFill>
              <a:schemeClr val="accent3"/>
            </a:solidFill>
            <a:ln>
              <a:noFill/>
            </a:ln>
            <a:effectLst/>
          </c:spPr>
          <c:invertIfNegative val="0"/>
          <c:cat>
            <c:strRef>
              <c:f>pivots!$A$165:$A$168</c:f>
              <c:strCache>
                <c:ptCount val="3"/>
                <c:pt idx="0">
                  <c:v>Jan</c:v>
                </c:pt>
                <c:pt idx="1">
                  <c:v>Feb</c:v>
                </c:pt>
                <c:pt idx="2">
                  <c:v>Mar</c:v>
                </c:pt>
              </c:strCache>
            </c:strRef>
          </c:cat>
          <c:val>
            <c:numRef>
              <c:f>pivots!$C$165:$C$168</c:f>
              <c:numCache>
                <c:formatCode>General</c:formatCode>
                <c:ptCount val="3"/>
                <c:pt idx="0">
                  <c:v>19</c:v>
                </c:pt>
                <c:pt idx="1">
                  <c:v>25</c:v>
                </c:pt>
                <c:pt idx="2">
                  <c:v>16</c:v>
                </c:pt>
              </c:numCache>
            </c:numRef>
          </c:val>
          <c:extLst>
            <c:ext xmlns:c16="http://schemas.microsoft.com/office/drawing/2014/chart" uri="{C3380CC4-5D6E-409C-BE32-E72D297353CC}">
              <c16:uniqueId val="{00000004-D8F7-4F53-A3A3-5EE2C941F179}"/>
            </c:ext>
          </c:extLst>
        </c:ser>
        <c:ser>
          <c:idx val="2"/>
          <c:order val="2"/>
          <c:tx>
            <c:strRef>
              <c:f>pivots!$D$163:$D$164</c:f>
              <c:strCache>
                <c:ptCount val="1"/>
                <c:pt idx="0">
                  <c:v>3</c:v>
                </c:pt>
              </c:strCache>
            </c:strRef>
          </c:tx>
          <c:spPr>
            <a:solidFill>
              <a:schemeClr val="accent5"/>
            </a:solidFill>
            <a:ln>
              <a:noFill/>
            </a:ln>
            <a:effectLst/>
          </c:spPr>
          <c:invertIfNegative val="0"/>
          <c:cat>
            <c:strRef>
              <c:f>pivots!$A$165:$A$168</c:f>
              <c:strCache>
                <c:ptCount val="3"/>
                <c:pt idx="0">
                  <c:v>Jan</c:v>
                </c:pt>
                <c:pt idx="1">
                  <c:v>Feb</c:v>
                </c:pt>
                <c:pt idx="2">
                  <c:v>Mar</c:v>
                </c:pt>
              </c:strCache>
            </c:strRef>
          </c:cat>
          <c:val>
            <c:numRef>
              <c:f>pivots!$D$165:$D$168</c:f>
              <c:numCache>
                <c:formatCode>General</c:formatCode>
                <c:ptCount val="3"/>
                <c:pt idx="0">
                  <c:v>59</c:v>
                </c:pt>
                <c:pt idx="1">
                  <c:v>84</c:v>
                </c:pt>
                <c:pt idx="2">
                  <c:v>84</c:v>
                </c:pt>
              </c:numCache>
            </c:numRef>
          </c:val>
          <c:extLst>
            <c:ext xmlns:c16="http://schemas.microsoft.com/office/drawing/2014/chart" uri="{C3380CC4-5D6E-409C-BE32-E72D297353CC}">
              <c16:uniqueId val="{00000005-D8F7-4F53-A3A3-5EE2C941F179}"/>
            </c:ext>
          </c:extLst>
        </c:ser>
        <c:ser>
          <c:idx val="3"/>
          <c:order val="3"/>
          <c:tx>
            <c:strRef>
              <c:f>pivots!$E$163:$E$164</c:f>
              <c:strCache>
                <c:ptCount val="1"/>
                <c:pt idx="0">
                  <c:v>4</c:v>
                </c:pt>
              </c:strCache>
            </c:strRef>
          </c:tx>
          <c:spPr>
            <a:solidFill>
              <a:schemeClr val="accent1">
                <a:lumMod val="60000"/>
              </a:schemeClr>
            </a:solidFill>
            <a:ln>
              <a:noFill/>
            </a:ln>
            <a:effectLst/>
          </c:spPr>
          <c:invertIfNegative val="0"/>
          <c:cat>
            <c:strRef>
              <c:f>pivots!$A$165:$A$168</c:f>
              <c:strCache>
                <c:ptCount val="3"/>
                <c:pt idx="0">
                  <c:v>Jan</c:v>
                </c:pt>
                <c:pt idx="1">
                  <c:v>Feb</c:v>
                </c:pt>
                <c:pt idx="2">
                  <c:v>Mar</c:v>
                </c:pt>
              </c:strCache>
            </c:strRef>
          </c:cat>
          <c:val>
            <c:numRef>
              <c:f>pivots!$E$165:$E$168</c:f>
              <c:numCache>
                <c:formatCode>General</c:formatCode>
                <c:ptCount val="3"/>
                <c:pt idx="0">
                  <c:v>133</c:v>
                </c:pt>
                <c:pt idx="1">
                  <c:v>159</c:v>
                </c:pt>
                <c:pt idx="2">
                  <c:v>170</c:v>
                </c:pt>
              </c:numCache>
            </c:numRef>
          </c:val>
          <c:extLst>
            <c:ext xmlns:c16="http://schemas.microsoft.com/office/drawing/2014/chart" uri="{C3380CC4-5D6E-409C-BE32-E72D297353CC}">
              <c16:uniqueId val="{00000006-D8F7-4F53-A3A3-5EE2C941F179}"/>
            </c:ext>
          </c:extLst>
        </c:ser>
        <c:ser>
          <c:idx val="4"/>
          <c:order val="4"/>
          <c:tx>
            <c:strRef>
              <c:f>pivots!$F$163:$F$164</c:f>
              <c:strCache>
                <c:ptCount val="1"/>
                <c:pt idx="0">
                  <c:v>5</c:v>
                </c:pt>
              </c:strCache>
            </c:strRef>
          </c:tx>
          <c:spPr>
            <a:solidFill>
              <a:schemeClr val="accent3">
                <a:lumMod val="60000"/>
              </a:schemeClr>
            </a:solidFill>
            <a:ln>
              <a:noFill/>
            </a:ln>
            <a:effectLst/>
          </c:spPr>
          <c:invertIfNegative val="0"/>
          <c:cat>
            <c:strRef>
              <c:f>pivots!$A$165:$A$168</c:f>
              <c:strCache>
                <c:ptCount val="3"/>
                <c:pt idx="0">
                  <c:v>Jan</c:v>
                </c:pt>
                <c:pt idx="1">
                  <c:v>Feb</c:v>
                </c:pt>
                <c:pt idx="2">
                  <c:v>Mar</c:v>
                </c:pt>
              </c:strCache>
            </c:strRef>
          </c:cat>
          <c:val>
            <c:numRef>
              <c:f>pivots!$F$165:$F$168</c:f>
              <c:numCache>
                <c:formatCode>General</c:formatCode>
                <c:ptCount val="3"/>
                <c:pt idx="0">
                  <c:v>105</c:v>
                </c:pt>
                <c:pt idx="1">
                  <c:v>121</c:v>
                </c:pt>
                <c:pt idx="2">
                  <c:v>114</c:v>
                </c:pt>
              </c:numCache>
            </c:numRef>
          </c:val>
          <c:extLst>
            <c:ext xmlns:c16="http://schemas.microsoft.com/office/drawing/2014/chart" uri="{C3380CC4-5D6E-409C-BE32-E72D297353CC}">
              <c16:uniqueId val="{00000011-D8F7-4F53-A3A3-5EE2C941F179}"/>
            </c:ext>
          </c:extLst>
        </c:ser>
        <c:dLbls>
          <c:showLegendKey val="0"/>
          <c:showVal val="0"/>
          <c:showCatName val="0"/>
          <c:showSerName val="0"/>
          <c:showPercent val="0"/>
          <c:showBubbleSize val="0"/>
        </c:dLbls>
        <c:gapWidth val="219"/>
        <c:overlap val="-27"/>
        <c:axId val="38551327"/>
        <c:axId val="38547007"/>
      </c:barChart>
      <c:catAx>
        <c:axId val="3855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47007"/>
        <c:crosses val="autoZero"/>
        <c:auto val="1"/>
        <c:lblAlgn val="ctr"/>
        <c:lblOffset val="100"/>
        <c:noMultiLvlLbl val="0"/>
      </c:catAx>
      <c:valAx>
        <c:axId val="38547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IN" sz="1400" b="1" i="0" u="none" strike="noStrike" baseline="0">
                <a:solidFill>
                  <a:schemeClr val="tx1"/>
                </a:solidFill>
                <a:effectLst/>
                <a:latin typeface="Aptos Narrow" panose="02110004020202020204"/>
                <a:ea typeface="Calibri" panose="020F0502020204030204" pitchFamily="34" charset="0"/>
                <a:cs typeface="Calibri" panose="020F0502020204030204" pitchFamily="34" charset="0"/>
              </a:rPr>
              <a:t>Where do our customers live?</a:t>
            </a:r>
            <a:r>
              <a:rPr lang="en-IN" b="1">
                <a:solidFill>
                  <a:schemeClr val="tx1"/>
                </a:solidFill>
                <a:effectLst/>
              </a:rPr>
              <a:t> </a:t>
            </a:r>
            <a:endParaRPr lang="en-US" sz="1400" b="1" i="0" u="none" strike="noStrike" baseline="0">
              <a:solidFill>
                <a:schemeClr val="tx1"/>
              </a:solidFill>
              <a:latin typeface="Aptos Narrow" panose="02110004020202020204"/>
            </a:endParaRPr>
          </a:p>
        </cx:rich>
      </cx:tx>
    </cx:title>
    <cx:plotArea>
      <cx:plotAreaRegion>
        <cx:plotSurface>
          <cx:spPr>
            <a:ln>
              <a:solidFill>
                <a:schemeClr val="tx1"/>
              </a:solidFill>
            </a:ln>
          </cx:spPr>
        </cx:plotSurface>
        <cx:series layoutId="regionMap" uniqueId="{2819056B-D82B-4F47-9F4E-02FB3D7DEF72}">
          <cx:tx>
            <cx:txData>
              <cx:f>_xlchart.v5.2</cx:f>
              <cx:v>Qty</cx:v>
            </cx:txData>
          </cx:tx>
          <cx:spPr>
            <a:ln>
              <a:solidFill>
                <a:schemeClr val="tx1"/>
              </a:solidFill>
            </a:ln>
          </cx:spPr>
          <cx:dataId val="0"/>
          <cx:layoutPr>
            <cx:geography cultureLanguage="en-US" cultureRegion="IN" attribution="Powered by Bing">
              <cx:geoCache provider="{E9337A44-BEBE-4D9F-B70C-5C5E7DAFC167}">
                <cx:binary>7H1pb9tKEu1fCfL50bfZew/mDnBJSvJuJ3bWL4RiK2RzJ5v7r39FO8m1Fmdk4BoPIzxlLgaJVFSJ
p7uWU9XFf9/1/7pLVsvqTZ8mmfnXXf/n27Cui3/98Ye5C1fp0hyl+q7KTf69PrrL0z/y79/13eqP
+2rZ6Sz4AyOb/nEXLqt61b/9z7/hasEqP8/vlrXOs3fNqhrer0yT1OY37+18683yPtWZp01d6bva
/vOtu0z097zK9PLt+nv4z7cfV1ndVMs3bt5k9fD2DfxV18PtUKz+fLt2Hfz2zR+bX7el2psEtK+b
exAm9AhLJAkiQj285Ns3SZ4FP962bFsdYUVsxBG88/i1l8sUJF+g0oNCy/v7amUM/LSH/9++wNrv
gNvx13+/DXfT7ZgQCACMP99+yHS9un9zUy/rlXn7Rpv84X5Vg5tPv/XDzcPN+WMdw//8e+Mf4HZt
/MsTmDfv7X97ax3J/4LyTVPXq+oVQFZHNsEY29jeDTK2jzhmNqWKr4O8v0a7Md6Q3wPiDYkDQxj2
+LJdVUvzCiDLI1txwFgI9PACU7C2kzE64hIpTOgGyC9SajfO25fYA+ptoQND21slby5z8Bz/PNrU
PhKMCoFt+bilxSbaYNgRJYJjWAdP7faLlNqN9vYl9kB7W+jA0P4rAb94/xo+WhxJRCWWnDyDNT7C
AlPAeh3qF2i0G+jNC+wB86bIgYHsTC76n9/ORB0xGywzYvRZD80Y5Ta48HWM91ZoN8Lr4nvguy5w
YOjeLLM3zqrKltW9zvJXgJke2RBs25KQRx9NNqy2LSDapkgJtY7yyxXbDfcz19kD92ckD2wB/JUU
OnuN/S2PuCKM28/tb0izBLwYE3Qd+f012o34hvweSG9IHBrC6fI+f40cSx4R8MAISwBwM+6GOA2S
aKQeNv2GAf9rb4WeAXhdfh+A1yUODOBZ8sbLKwD5Fcy3PBJYcYZ/xGEKrPQW1ErZVDK+C+oXqbYb
7e1L7AH4ttCBYe7mQANNkbepXyP+lkdoSrPIcxwZxsCvAOjC3uDIXqrXbsx3XmUP2HfKHRjyt02y
rF7DYfMjiNFsjH4YbQRWe22rP/CiUkqbQQz3NL/eX6PdaG/I74HzhsSBIezmSWNeY1cDsT2xYRCT
PcbiW3wZPkIQrHNF2TrC+2u0G+EN+T0Q3pA4MITnUBd4lWyLHwlic8agiPH42t7DQjL4Y28gvL9G
uxHekN8D4Q2JA0P4fGnMKvvnAzKKjiikVFKBnX54bebTE+cNb1PJgR99aqX312g3whvyeyC8IXFg
CC+SVfYKAE+8GEbMVhhqFmv+d4q5lLQFYRuk596a7AZ2XXwPXNcFDgzWmzzL09dwvvKIEsWVwD+K
VVsbFx8Jm3FKp3T66cbdX6Pd+G7I7wHwhsSBIXzcpN/y5L5+FeMsJIei8vbeBRqU2wRBSeOnX34K
8UtU2g3y1hX2gHlL5sCAvljeQ+H5n4eZ8CMoO4MZFj/i6M1MCXww4pAeU3uD1N5fo90ob8jvgfGG
xIEhfJIWq0ovk1fAGKyxwpJRaATaGWfZ7IhBoM1sYECn1wbH+RLNdmO9dYU90N6SOTC8L1bVHbQ7
uf94T5g4IogrLvkP87zZEwY7mkpbCVvQXWjvr9durDfk90B6Q+LAcD7Jhtcgszl0FWCIrsWPkvMm
mW1PDUWKcyC51kOwffXZje6a9B7Yrn3+wJA9g1rzK+xfdkTEQy/BozHexV1OhDb0BG5kxfvqsxvZ
Nek9kF37/KEhC73Dr9HkB7Q0NPhhStmzlBaH96BNZBPafRV6Bts18X3AXRM4MHTPl/Fr1BzUEXTs
2QJBqfjhtYORVjazuRQbHZz76rMb2zXpPaBd+/z/ALK/V3HtB08N2n/99HY72utf2l0P7TzQtcWV
/Vj632WJuQ0kiA3J0cPr53c/9thDh+yvIwGPGfIunXaj+lR27Tc+/sTf35T/udb589y8+SsLVsnq
NawuPUIMYyJ/Wt3NgBhCJUwJ9H/A5p1eG+nPC5Xbjeeui+zAde2f4OTILrEDw35qTbuAIx+vESQL
yHSgzRp6tx7351abNbTeYmlTRTcwf5FSuxHfvsQauLuPyGwLHRjaF8tKv0bQLI6UoAxIrB/NPZt7
HAoODDo3uVAb6dDeCu1GeV18D4TXBQ4M3dtVuHyNggNUCoGb4mDGn6kFA7zQf21Di/VjLXFjO++v
126UN+T3gHlD4sBwvoCOrVW1Gl4h++VHXHAhCHqutASH3aCyxMnmcYmX6LQb5a0r7IHzlsyBIQ2n
MTNtkmXzGoGZgPI+ghowfy5jsqGHZwrNxIbRfplWu9HecY098N4hdWCIXy6L16gzQYwN9WIK1MZD
jI12lIyhnghHaORGR8C++uxGeU16D3zXPn9oyK7a5auccINePI4FHEP/UUPcwhb2sQ2NeFsHlC/3
1ugZdNfl98F3XeLAEL7RJtZD3vzzfnk6sUps2Jw/TzFu1hsgAuNgyRkUi9dZkJfotBvlrSvsgfOW
zIEhfVUtgS/553EmBGrFcARC8meOMsIZN8ngMAzfpEn212g3yhvye2C8IXFgCF8ny7tXGSchjySc
UASMf7Cau6y1mHoF8K8ixdP+nv312o3zhvweOG9IHBzODYyxeYWdrI4U4QKOO/3ImbfIL3QErbWK
ATu2brGvk301eg7hNfm9EF6TODCE32sYGmL0/euYayURI+RHrXi7RAHdIDBSBAqKG+1bL1JqN87b
l9gD6m2hA0P7ZnlXwSiJrH4NQlseMQFHkSlMgnl4be1p+wjIbPgDDQQ7Shkv02036juusQfsO6QO
Dvdp+gDMsHoN3KHbh8GIJ2jU/OWT1/vpAXeEEfTrbtSWp4LC/lo9h/jWNfZCfEvqABH39Cp4DcAf
GugFg7bNjZMTEH/bnEgYQvFjKaz77gnvvXV6Hu71S+yJ9rrQAYI9h6TrTpu7/Oc931HPB/bqZSP8
xJGQCAno03tma+MjCmMMmSQbHnyC+pdG+8SPz8O9fZk9Id8WPEDYT/Nl2bxW1RJqlhQDwA+vHakY
VtAuptQjs7ZR1ppWwAuUex7/zYvsif6m2OFhDwMJnGX1bfkqRy/otLGnkvQzRU04pM6VhLImnGJ+
eP00O4/tRYD+y9R7Fv8dl9lvBewQPMg14MKYguU+JvbFtn9qO4KGweda9e2jaUgBMOcbKfoj9nur
9Tvk1y+yN+7rYoeJetWMrwA6nLgS0KqA7B+7ejPCAyYd5hBBTLA1zvVhw7t7avVbzJ9eY3/In0od
GuLh0oA1c//p0zjQuQJDwSBgJ8/NdcVHEM0jCZWVDfO+t0bPIL0uvw/K6xKHhnCeLF9lTgVUtmH4
spx6Vh5eEKSt5+awn6mSDG3l5ntr9AzC6/L7ILwucWAI3zYwbCZ9lQGA0F4oYbQjROLPYIxgF2Pb
lnij+vkSnXajvHWFPXDekjkwpL/kyWuQLjDmUcB5OmhC2dzCUP0W0B8O597XjfS+iuyGdk16D1jX
Pv//AtLnJ+v/ekqBt6yXs4fnGzwZrv/7dx9uDjyXYUP0x+CIHRzLTwxO7v98y4AGe0K5TNdYmzjx
9CDFYxnzb6kV+Pw/38JTEmCiwXQ8AMG4bQYTheCC3erxLQxJ2tTWAo1qEg6CTH3iGcwED/98S8Gs
2zAiAYY7Q/4Gk7whjjN5M71FpmZjuCAQOxIcP5zV+/Xsies8GYI8+3VDfvz9Tdak17nOavPnWxu+
o3j82IOqiCloa4VzQxw8DAGyAFZncbd8Px3Rgk//n3okeVE2TX+ZdUTN2s4PCycnkYjdWHTtO26x
4TTq2yyeIRTXX+qcth9iavrSMSorPz25e7u0gRLDpjYw4haOscHxYRhrPe2Ip9rQbChiFTbtJS4z
+zKIx8x3GpHz0O3bOldO29Hmi2gLSztVKuvSLaMqDhx/NIK6UJnO7lVdoyu4Rth4OEnsDyOzpL0Y
OPNX9mDZ/fz3GmOYObKlMTSVwpwhxQSMrUAbGmsRArZDfUl6FgQe78fkQwsem8xrMeTMaYfejjwt
fOmMgg/aGWJEFmlbDbZXtXl9H/bG2K62CuYZeLBI69RpiFpHVCwOZkEehddxo05To0LjQRioPpqw
PIuTjvUzbSx+oauwTRe//1XbMECNHsG5fpgbDoTww49+sijEYAWdVSTmMqt99TEPpI0dGmNYGkXW
9NddX6mbwreTz7//2mmtPV2LcEYG5iQKAqPXoNUek0mtJ1/LUB/QwgTZZSZH+9KOw+YyM5WrpR9+
/P03wfbZ+iYFNQ0B45/gtLrcWGdFRoexrML8UhaILssur5KFX8sBO3ERzlDZJKNL0CBzNyKsS//b
opkWxfoPhYUCB6wpPHABpp1sfj1EezoMslRfijJmyzRq2DJOJh3YmJoZr/LcGRBAv+iSssNOGedi
VSfKnHRqoOc9JxVySRflsRuJLP1AqgITL5TDsCqstvCQNabCZSqn1TEjfGyc39+9aQbapv5iMhvA
HcFsefBq60Ah3rCMMd+6sBs/XeqqNoFjW3GdUYcMQxacdqGOvwVSFef9WIZzntNeu9huxfdajGPu
DmEgXJpH7UpXRNy3rAjF6e+VpGwLZEIJLKIpE4ZTOExA9PR0OfFKalSFNbmIaFn4Snq1CsdFX/dE
zeu2adyqL9G7Nh1Y44RhKNzKzhYGV8UioQV246RM3xcJS3tHJF3wqYvS/GQwde0UrCw+cBNLzy8z
323yKNKOrknUOX5kssuusMxVaY1kFgS2ihxr9LPUxW2YHjNeJ+9xFFwHQ0Z6J2lEeVn75W2NU4t4
vMVwI/WAwTbQZhwd1MnoPAmZ/OKjhp6GXNrnY9C3yu1QSFMYDjjoE0tWQ+p0gxw9u2OWN0b9XWHK
+qZBlgidLq3F3Ddlc0J9jG/L0O7ihS8sWztjGPvfgEGqWkdnpfW1SUXqFYXBJ3GeFSd2qZJ73RYc
9j1J4xut/F44bUmD08qvGneA+7CwKVZXZZf2M9pV5dy2e7udJTAQNXDbLpCl2+LQn6WGVF5TqKvQ
twLk2XZeH4OrwZ2boYg7shbJ5z5F4RmuVHHDSM0WjYosPDc8HZeS59XMoD4a520sg7nV92iJTdJ9
N0FRMHfENWqcLMBtMO/rKIfN0XWzIWgbOa9yP/SSmqTHGXzUUZxWOdzotBVOZKLIcoXfCUfkrB8d
Wie+S2orSxcVj2cBbQb0riM2hWc1VShxIlhJ9ZzUnTKLnoj+nMfjmPjvmq6s09QZdDJk1X3ohxiP
X0xn9SINHVWBKc/v8JBGNalgiH7TFOiyjus07k+VLsdFq5raP0krrQsnwkl+g4RFTqKBkMZtAAPf
GUqkeoArldLLfB/8YZ3EXTnjcRcgt0pq278KS8RFfhwPogu9oU9Ufc5NTWBFdX5um85twBfOuRVG
/lULW4cHbikLCQuOxCadZ4mulJOU4Lz8Wd9q7lo+kMvMGXyUUZiv66epG6qm8+ddIpJ0ZnyICuYs
C9LRlSMDi5nhmDZuGlZW4rRmCMy10VaazvJAy+9W0wqNPJTjeqGpbOQls/zAP82IqAWL3Kw35Tgc
G+gBrcJZEYQinfmmHcu5qkym50PC0+EYGZMWLsNDol3RsyFZVLrUlguw4k9WkY62B/0scerBf8i6
SiJkGbjlWfYpSlOVnpBK1cksDmv+fmxqQuaRlWP7LOxCIzJHhDisF37VFtkNOGNyGgUjjudNARrM
8joJxpm0+1G5MhqK7iKVAyxtC7ZK5fm23ZxWhLHEC3wSNJ7IWoBTCwPxSTZGZFwlMcw98yQokHpk
SMPyxEaaHgdaxNzFcVwST+fa98bGj5ljdVWhriO/i6hLdBmNTlpEo3WG/ITO7cIPGKirRDGzh3DM
T0Jtd8EsVjTsnOlzjq20ymD5BKR0+05bo1P32vpawUSRwXI07CN8aY+ZHrUjW2qR2yHpcHPJCzXk
XqbK+oI1GbikwIgYBFRK4G75OrSzL6OdZOFpOaRJPzcdG/WZXQf1LY0wW7LeT31H2rB4503WCzIz
fNSgfGNHqZeQMjau7PyZtnX5Jek6iCyiIGpvDOPdt6IKyXErusCfyZgh7GTSh+uwJI/6eVa19uXY
F4S+MzWzb+3agk903DLSre1B9LMWp5E+rnqMu5NMBAZfaUuojxkqp8UZRaVZiMSE5rofaC1dVHaA
TdhloFhuwOiegQdTH4lEsLpTsJKVB6Nu+vykNsrH11HVxPF7LDNFT3oadc1F3ddT8BkO/TWLLd7P
8i6Fr87zcWydHqf1uECxmH78pHoH9gn0KlL7krIMfkVTMrhVYZzHo6viFrZOkQSxfpdVArZ81UBU
EMB7YFNxnYVXpU2HKnNIESKAu6v65iK1wsI4GjVlP+/h0BOZDW2JJ6MBm8mFXwQGpFf2FCfXWfrR
h+nlp7LVWjoyZDGsiyHgyy4joEZfRcN7UvfInAUQ5kZneZHF0Y0Eb7EwGbIvSxWUX6BPhJdOSEON
T3MZqObMD/Og9YZKlB0EuANZFBhuq4tEOdzFScyu+8ag/LhEQxt/6ngamOPUt9Lvw6gmG6LLJPQg
D5BkpvEQmnnBU/XJQn46T7siKB1BwcwNVRe+13ltzlQaR8xjuMIBmD14DJLThlh9rCKrDWYJzmCb
jJZP1AnNcrtcpWCQh1OYFQl7o5ss9ixiFtzRvh3bGTiZrjyzqwZz11dJ3YKnJS2C0LuMvlaqVbfW
AGH66ajqyr6vTTYYJ7Vt0Z7oDsOl+tQOR5d2AQ9OCoClc61Y8fmYt2190Q8iuYlaUzpSmGOa9i07
HjsO4MTINuOiSOI8v8h4T8+tGtF8FpZZ2p4FQ1eErmQmDW8hEjH3SGVgRsB0mtaJQ9MZR3WtLMEL
DOVNEpS2/mznI5GtM0IENnwoamIpuJjxq1korDg4tfyi+xYGyGrdRBgen2iF7He9sfxxUTWl0TM9
NrBINa4jct3HycguU14kiVMWLeIX1A5p7w4Q3ZhZFxaAWiczHTjVKFKwHcYkM7snfeW1CZbVYpQl
rP6Y9oHwBn9AxvULw8tPHRvs2yisYK2Bp1MfYa2n5jpTmQ0GFhcqmss05J3TN1+wbDppO3Hcig8M
Z2XndSyo6QX1E9m+L32jKnDusKJnhSaAJiQOQ3+uSR3n56IqQnKNe5TwE7/PFfyuvreCi7iyis5L
jQ82A6Kxpr5IEh/0r1QczE0o49DreoROhpLCvh84F9qhfiguHqLSH9zF9WOQ/5iA3+XFUOkg/PH8
x19//c9tnsL/Hp4k+Pc/To+P/PtvFz+fO/nbTy1W+VStNZsfmrT5dS1Q5od2E32x9pctKuUZsuTx
MZbPvPk8k/LrrNXENMDJLMLgjO2TIH6LTnmcVv6UgPlb6hedMrGlNgJnA8S4gmPXf9MpUNKGIB/K
ncDacJiUAvnADzoFBhEKCokKmtgWOH8wNT79pFMYtMjA6BQgW6a+dA4kzM8fuoYmUEg//v6UToEH
ZG6kRvDFkG0g0AH4HOiC3+BTAr9EsJHz5nJMcu30uvlaDV0Ia7kWDmoTsJTJJ2b72h1yH3J32XnM
7oxbZe11avIToXzLMQyCNtWWnrH0WdhEF4MYOyfH+gY4mPsWtbFr5VP8anWp63f4Ih/L1PERRHSp
Ka6yHn3qRv4VG/pZlcEAxl7RuZ9AiKyscZ5Qy5qVXRg6uLIcEViVo4voI5PZ12LIP7Rg2x0wtYXr
c/6xKuuTrM8+1cr65GfDWcjFFSH6oo3D8zrXX00uU0crcQ2hz12iAjlL4Yc5EJ7xBcb5aWPnX9IB
DTMKERBcdojdMumOpeo+DLioZkHdzSkdaw9HpANbqhMntuR9GbbMkwk/N3Vy22Vj7MqAzVgs3+da
3ZdGXWvWDw4uh8BBQVTP/K6DXL79jOLszq/zL36Jr0ye3VHKldvEVTBrsk4cG5FeB4U61qFxaBR8
TXDdzopEFl7H48Tpivyus9VFbA21l4LXcSCxHr2Bpmquy7ZylS3OaxOfltQ/z4LEG3VRzYe8m6Oq
Ow2UOg4wez+M7XdNo5VIq1uig4VPxs9pMKYeEqAkgKRQxZyuE8rFKCod3Jf8HW/NRaj670mkcs+3
0CJHPnKbKgKfg/AnGrD3tB58T+r4lgb4Ozit9mTQkzhrmjklzefUao5NDiQNnHGeQ5qhPb+powXn
yZecRvEcF80lDhlydCwSt7Rr5iBqOXyM50gUkQNs5KKsw9wJ4qJ1IEkZZmkNGRpm3GuoJk45yjnX
xix8U5xpPy1PxzQOvCryB4d143uRsEWXsXlT0tKlI1BeEM5UDqp725GjibykgRXHRGdBwgCLeDCA
YYoL8M3VeJMHkIY2mZwHfjuHdPdmlORUdzFxBE4yx5R+4AVJBM6wie/qvP8MXqh2BC++ITuvnCz3
3arre6dD+piXleXmVniMMivyLBFnLkL5gg9oATF34xpkqeM67AaHtHKVRuW57IF6K0xUzCBDOOHB
MHi4abNZkPYf8pKd+rjSDqzG1OGk/mYaVbiosrlDx2K8TnuOz2gWZ17PiApOEqxC4sVx9wnLuGpn
lWVC/RFug19f4VoE3YxrRubcT1F2K+ARwrlH62IkkCtCfOraMhXXlh9qfj2UOrwmZR980U0xMwks
IYeG1L8sjHGimjcQTPcOYsFxKFRwAzmg5QaK9e9QYp36QanJrBctYU4jk9HrJTflSSOQz51S97V2
JSKQjZiBuHaXvMtz3pcLFBH8Oe4Q0hdJVjRgZ5LQ9nou7lDQNJEb86FKxymrVOPMjykrZ1pjEdwi
yOLNF+y3ge+FZMShV6KU+19jpkN6gXCVWk6i+qZwX8Wp/u+5S/Jbd/l32/u2y5wkf7pMeIQvhOVS
IJgmBcsPQS/ArwoE9ABxIP1/vgNSP10mPNCITIUJDPkyxeAf/3aZDw+9odOAdegblRQc7UtcJt2i
0IWAAjdoB1VsCkWSicd7QvuSqM3MmPfdVZ9I5NJGF3PShtGsiFo3FX09N1ZsiNMz2n4BEu6sML1a
wEOphUNLrV0fiAbPz6T9Pgj4zJIsddIhEy5HGrLlelwyH4+XQLGsOl6amYggZysS/4Y0wJ5nbRI6
Q0vKedG35SWQtbMoCD+CaZh1CFgHreQpGMFTWtnf43742IXpqaDxVZlUnrDxsdJh5KgIaB6dksKL
EjtwxoEkXo+ogZ3YhA5lfBUJ+gEy1a9xa626Niw94Q8ppOVDD3YrvS9T8GMxsi5r1DaeDTm608Vd
5rSKfxtCGnsKnh8H0Xtbg/GrtdcM+ccwzd9hHsyAGosdMUD2WDbgzIJq0QQXgT7hBXlfGn5BEn81
gtkasmtuQwhMqvgym9KUPvqUlsTxsX8XZuy2ZX7ooOj7ABy8pxP8DlhFCB2aEc3awHzIrRo7Q1MX
bpOECbBsSe+UipRexYebNKiZV4uOHhuJIpckYTVDGViOMaejm2p7dI0fqZlVcwOWLjiOQwp+zSKL
prGi98xOsNcD8eVEA42AAGWtx3KLXFRlrIGa61o3lnZxOlrV+9z0iUOtHC2a3pwwZGuvIrWe0yZi
x42vhvhjFlgiuMBmTD9FhllAaqVlAbevHd2eQIbR9rqbZUx+h5rKcR+2V2FdxS5JTS0uah+S/a8V
cBr3aZILy1N2AuECtf05M9y+Ekj3rhlV4wZ4yOYF7fKLdMT6g+zkx6rW/TFw5l9j3acuawt91QEp
4llFU83xIG9V1p2QlC2Kym8WCdAox5Vtf7Aa3/Ya1IGp9sds0QJR8D6lKeS+BmdXJlNgRuFeEtNe
9OGQ38IKEG5BBRQnyqS/BkLHzCBjKm6Dsv1m4CDHmYhx6/IoXBV22LsjHdBMK/vSkrlfO6jp4dYz
2xWqbo6rxq+OccWTm5KXyVWbi+w2xhD+FLYO3ZYWt7msvbrmljM2Y+0Emh33PIudxrciqI40uVPn
w1VXK9+1SNW7aZyrGdO4O6shrZ8P2uen9YCWvV+4Zdh9lAMtXJKhwcmDIvICqiCO66l1Ylmq+xpH
XQd0Wel7WtbZoi/y+C4mzBwnwLE6YylP4y7sj9uxlrOqViP1qrHwIeJR1UTU+udhQOSFbIdLA72x
jkqswRW5hp0JJTfgSGTv1TgzF5Ycc8fYMXJiIH5n/98fPaRvUzbz6wDCVvrmPnnU2rZHmmSfeCQ2
tR4TZdswanaqf/3ySHAiAR7cAvVfmC8s4DkQTz0S5H3wtESYtycgkXvqkeCcgy2hWo85g6KUgHHy
L/FICNzeWn2LiakmCFOsoXQLf6bC/FOPpFIxqqxl7VXSaqheuFWZo9Okt+lpNkKxx414+mGIAuyI
3jqXGRTfIpa2ThdxL8ws5Nh1dNsH9Vks+5sW9eeDb0dOEXLlALEBDJUegfivP3bpcClScsI0d8BM
504pzVXR96e8aLjbp+WJHpPOSSHU6/xAOb5Q/aIi5DuRQe12pswcpOPBBRYEz6rYgg0i6byJIunS
h2zPhF8GDmbdJHSYqXqAFKQqbilvGoc2FnahxOySYkTu0NUOBfMBeaj/KVE2bBI+uJUxHtPdN97E
TuSXKaSq4q6MhHZbrj9zIBkdKI2fkF4C46iFA1T6Zx7QhRTFCHkpmYcS4n1i0mNIVpjX5vLY9GkK
+VQLOWfbf4NU8Vta91coD0uHQXuBRkq7KY0XcdyfSKiRzu2+q6BQbuWODIr7AFHm9Xb2uchZ5JCw
JVOOs+KThzfxsNQF888aBvaxYjh1wikgmCIDbETlUagEuXriDMGJqEXXxWc2K9svUrUVcRrozJhD
RRLMpdAz6ot8ngwEuclkH2QYIidQYDOayXoMkx2JJ4siJ9viT1amnuxNZeJwZmmoVg1I+7MMGX2m
UZ4sIOGtbzBrx4/d2IZejoDhjSGcvxh4KuZjF8df8qrFp1oI/rk1afreVHZ5HXKsT6Rd9eel8onX
Dkl+Cgxs1TgWpdG532XFVIDoz5tqTLAzpsj/1kttSWDMrPIkw+gdmGN7FoZd8QENcOMXPrRdfLUi
FXynMmlmqcJAotdDM4uldIcUQ2NHVDQOWFhYNxVQ+wZf1APkDnYHrEFwbrLyCzJGuVbZXFZh1h37
ft3PBWp7pyG5mgsWtg7ti0ta43pepgiK1FU9K211BpUriHMSIBgyMk7lTpV5I41tL7el9gQQBfO8
IWExA6pDkAyKi5rHF7mS8ixugvajgvrXCYdGPScEinhhyQwCC6v63mPfOobyCCQ4g36sI//TjN3/
XnIxdXU8b8xh9tivk2h/83eTzE8jPg3rgInT0NSEoXMRJuT9bcSnwyUMHp5HYSIxzPJgkHE8SSvA
4kOwD8/vAbKOQo/HTyYOBmpyiP7BiINfADH+EiNO1FTef9pkMT29jXJoTYFn78Ih9c3yvxmRHhrW
8MuAZCPsH46gVpLLsKSe1QctVNdHv8GtY2EeJp6sYcfDxk5NM2t0NDhhzVByIRuN0trBAXxHALTB
YNGZbzUUglkgoDGUY8aOQSjc1VEDLQJNahXeiAJqpU4sLFWcGMgcCiDzGO/fNZEAlxFaeQCb5P+y
d2bNleNWEv5FnCC4gXwckLy79q1ULwypJAEESYALwO3XT7J6enG37Yh+73aEw3ZZVSXde4FzMr9M
QqCwENY815Yp3NiDUTRmw4ARv4PCx/qyb5jlzrArrPsolXfVq6jOdSMziOr3aoGwAq89YLpoz61u
zqorLmSan5ehhe5IIcK1bbO37bFuOAQ53nqsjGQJrMtwVs90YiW0JIxxK8dEvL40NLklWD9YzX3m
2KFi7axahgeSQxxr4hOWkg8P8ERW2vGbgc7BCK/PTemGWaOXW4hty26KxiiNLKbjYuxM6tMVx6SJ
6sxd1JovIWQvPHggd0O7ZNKSLp3i8cMJ5nPtlBxiV9GnTUE+Zox9qQ2HnXS7Qxl2ddqQ+iJjr03L
vn+2IXYn2U2XwVY2HcvRy1ftPziBu+uo9XZFVaQNfGdW9EV7DAT2vTnQ19LT9103pQWFeBWtqZgl
Nqy4Y4TCYbL1ewBPl4GmyozvsrGusloETjq2/BQUTd63ccRUAZHGM7Nkfa2rXbxQZ+f4BkbcSnZV
3cuLu6x7wvmLVQpKiU7Kvb/4ZeZE/HamkJCCxKSkM6fRjpJ1bv/C9YJ3YhWel4U8GD7n0VyPTM7k
UCl5z9V4gVSUwUa0LIKTmhcwvVkbOMWhr3CfuXNy64aa5nHnf+qaDAfS6iENlb4OiTJ74cPa96sn
GkbP0LkYaL8buIYtpv8KUFedyDSu5U7WzfNE42zBOmxd/9Vtrc6oDLGN1A9zFR4V7xaGWQKXKrxD
SHdyxBvdE+e27eG5J6t7ENP0oug2DHnmZS6mZxIMj8FQNYz3616J5AbrWOrIGCuxeZ9pAVFPTeAS
aNVm3XYLxATOuLEPhVwrpiWxuV74kQ8BP3Smu7fR+gr843sXDmU6l8u2eZddLseApIFrn8bSjRip
gjIDMXhyHH0C4/am1hgaJO+81NPkAZv0ruyDx3Zw946vb6EWwnMq/YcAdF8WC7dh/uxccwhWJW2d
1K/K3VzWL2VA1V6R5Q1K7gzIgh/s2AfMEXGSKgfKn499cWeMepUKc9QylBqfsjU+J8DIsEW6e+6u
/QX3GYxNijepVwc5/IOIRc60q4flBiTpZ1/j7tR9d91SCtmxEKe+8es8IvNnVSb3MsCUFflYeEgN
6XRYl69pbCQbx1plBfeC1ItpnLaDIfuaTjotavsQFRXeOq5PWUUwRum2XNIOaCL4K3Go+PwWCaNy
EymVz1FyZcPuijjBZwVOKtNzHbC+WvCGAkS0Ou5XPwVnrsvDsupXeOxeHoFjoH41pe1Mzm7fjbt4
dkaIp9F9MHvBkZsGkojEUUI8eUWq5rSsYr8YeQZ/eCf74tzU8ihM91CI7svMyZCpqb9gNLyJnPax
jSGwACrrmItp7pzgXMTZqPHJrf2cajvtZaVfFJyFlE4JPrNDwcJi6nPYsiYtx+k5GYzFdIexfFQt
fvOyep19A6eTzrvKWpc1sa/TBH79rlrEizd9ThtPBSalzNUSwPJoXucFP1GS2Id6Ml5ejBqOM+R7
f3CevSD8FNA/AHZSl61+eHQH/QPc3Pe1d79GgjdDq6LHtscLNmEnysLaDDgiVIfZiN6OEpyRXxC2
IZesrkdgMdU9vtVssuJmbYJgFwZdnPLRwXxX0wtMro31c49WV2Vqi3g+BlP44LXFN0jAsHTr8rOZ
BqBoAZRhMq3qMFTjk6/0mkYUkBPozTEZ2D8r78+V1/uvAPgv7VF/XXa3r/p1Ttoecoai0TCKUGD3
F/kVHeIBWCs8meOXjfbXOSn5H5iR/jZYJWFAtmHotzkJyizBo01dzwOc+3NF/hvLLgTbP89JlOIx
uLGH9mqIr/BA/3XZHZdpDExApxszw5MJTPWix+WegmLIYejdNKSTP3Q5KlYu/iM+ODIdfad4iOn0
5Qh3h5U8wNsefBFgP6h+dcwayuu87Iv3nlcknWvaQ7ZU90FS872b6GI/jcVV3ODMEi19t375EI3r
i2gMMKgaH1avDdJZg5asaHvy2wGCLt1OgUTtsOU84M/KJkMs6/ERwUGzECZj+BLFGl2ZKnlCkbNg
quIfcoivgr64c4P5RgA80RSj2Dgud55w3V0Q+7hng/F29qjOMepGMJpmrNt1leIsZevapX5n5dEN
vBLWIDkQASwlMZDbqhL6k11aP/erYg/rsAc03ySHog0e4R+B+k4y6/u5xTXDuj4s07JZjisBywWU
B76Yuz6HyUeji6z35itAbSeIu9+su5ZpK4eZBX4JM2wpahaN0JBhdn6OwH5GQnfUdyhLXPHMCU7W
JHbSOq47FmBe5OV6kB69mUp6TQOect0/ayd8t3Y5U13tnWrNIp+m3UCOgMzuvMVXjIfRfYyfUFFS
jhW+B95XX/dBch+V7ns1ry6b3YQwSK0rS+j01HjBq4yTa6+lU2pGFexaS4ClzPRMZPzo1L5Ko9V9
LkcJR1XJ8+oXT+3cX7fWOfO+SiBH1J+BI77Po/PY+vYyi/neQJJ2I+cb9GD4yDJkYbhAjmg5RORa
x7k3dF90WR5cC/a/C5IrvEyXSdKs6zERB1+kDXPwTYpNdt21VA+ZF5QPWshDJGON+5/uV0lD1iv9
3VfRK+TeJVXL/BbYCe8v0nWs4ZA1ETO4kLH+KPCOTHq/yQJP70kdnWy0HHRkPkYHErUn/Mdw4Hte
ltBFiw6TMxQUUo1zRpNEsN5ZYDsKG7PFj7chunqWBj+kFXYkC8UQsqDx7k3U5knbHLB19Ek+GNXC
spv4tWf18zy81t3Rx2futTEl0yBADwJ2KltNgMlgEXfL1CfHooK0r+kw74OxKKHtTgG0GCIx0IqQ
IVXwFUpos5cJM6e6K0Qhlxzgabc+jaHG+B+OczwkjMPGe1CF34Is4P4z3GudB8Q+gHNYWbEEbFYQ
XkAeZXUsJdjGZI9hecgcJFcyM/X1qYQgnTdjQfJ28l/1GMp8XfFxqwXe0moyERMzUP4w9FOnbDKw
4fND3M4R00LczGL9wFTNyo7HWVl2O3eyma0akq/wTHMVxSLbuN+a0us5CJhpy3R145cyVNCYwoKZ
GJC5Mccy9lnvLlk969u6tLt2dEy6OgNotqFlzmhOgVD8uq5mhFiiB/x0yb5LgutB9rdzZ5+SKjn0
fqBSXkzvQxQ8a+1/a1xaM6/oUln7Deu6dd1FU/kcim37WhvgWj7ovmJMGDI0U1qJ+uJO6x7/q4cp
FYZ1Z8LX1gFF7XVO3vsV4LfuqZX0ue1gsfbBew//K3UbehOZ5BRZ7cLZEj7zu4mwxXAndQvyDvz5
PvbUBS9eh8EXRIip6FMzjhM+Ib5JwykWeRcjg7I6ARwjoE+y6jJt8GFa8NGjK75P4R0HPgL3FuYe
G9jReuSEJNIZKtqlCuseawE1rJ4iwYqxSZhfNjWzNJZZ0JDN7TWfjlghlCWd3BmblNgy3WtVJE4+
1nY5eAq8HC/enKW5iGp9chbfY2RefjhjJx8WiJsw6adDOwQKLh3mNcq7H5N2S+b0bpvqRj2VcXTG
gvKjXKmBy+I2j7PqD47ynqhnwbu0eDVqWuwWW7lZXMQ4NqYjbdoiKyJ7aCVuh9ZgAJsCNjQ13mtD
Y6eQ1S5Il1PvkmVkbs1VDjJk2A0//R7vp/fzz0SEiWhrbv1vutH/1iDSPt7+PBL98mW/jURoFNue
IRlDW4d/TGEN/EH/9ynibSC8PBefEPzSryMRyC8X5XPImwQgrCAV/T4SQTrC5IKHX0VovAggWf4d
6QjI5l9GIoTuIvgSNEKLSvLnkSieeZfYWNgbWZr2FNdJAPVlPseq7tLQ9s8RROxOmuqgNK3XT6GH
zrmzsEuXDqcdEPH6LhGtwgd0uTM8OOmh0buuHkpGVrz9KBaxfVmPAQtasePVKI5TZ9yUtwXes9PA
RQr6S+0a2mJ/g3TzmsD3Y06E+4uC4pZp6w3BaZyd9RS2aoZDsWzCp4VmsWxSqIEmyhOIo+Umky5E
QzAlVXKsNxG13eRUbxNW418k1of2p+Yab/JruwmxY++4Gd3EWb3JtPUm2HpRAuQTGm71U8zlBBsh
5N0QOm+8Cb7jJv2O9TozZ5ODh00Y7qfhmmxSsYFm3EM7XqAhCxzPHjRlN+DnaROZzSY3l8BZMcXF
6WQhwKlNlOaFY3L8YfyrmHT0fVnlWOy6sNsECgeRAzGQQ9Lbe1H5D7GE3XxsI+GYu5Ko7hB2bao6
ER26cBnUQ2TcpGfCFnRkPi2CvU8m6C9hEX5VhZ2OW+/13qqqytZG3S5yuI6C9qRqcd253jk2zk4P
08lpokyvwEU340WuaVi2H5Py7kuTvP5zePxcp1xsF/9ZdP7f5u1D938+O8Bs4qt+OzuwTkE9hlAM
ViSGwPyHs2MDXVCIgSbxPx0dWJncxPUhRf+0B/8Yp0XDAkFNlvur40j/ztGBM+ovRweMQxc5RkoQ
0Q23WoY/Woe6DaHlLcVw49b+Y6WHB28Iz00w3FUzEDusWuLEXWSySHCQC4bEpqqKXTFGGKVnWzC3
azvQHBh/kNK4d4MVOmVLCZQDTFDDSu6M20G2S/B7KapFDh6OHBPee7AX64eeKokZU8eM6PnK6VzN
GiXbFJ6TkzpzWGTUUJnXo+ew3kzdtauaRyjb4RUdV3WRnmeYjmAB8WLguVfTfTDgYx+PekojIaDj
9OpRqBhngtNgrO2HY9eGuyI2PB8qRDlo0Hwi8PeMsBTEDC88aN95cNaKsKIbrtYtF7GG/B1haIif
UIHTXgPF6I+SXAj3P0bx1vupSfhBa9B+02gRflytxE+kqjNVz1XmrUObt4t8m1bdstn0H9ZMJ2Ig
3SYuvqF+LI5DH98uDm3BvOTOerGGnOYg/h7K6KhdGbBkCd0soeGl5/1t2YAZDEZM6XomN1XU19jO
bE5iFy+JTwdmOB+OtA9chgjUvcen4C5xxI/ZU3eDipGAqP06LYkgO6/THhvoSHZ+1Nu8LbTJ62rb
TyoMcr0bX7xSHBdbBizsRSZjdT9Xg2Tuakne+chsxgMukShBmC5CgiLnnRkfuHH9tCDJC3e0ZPAb
950rT0NFH4NkfSMOV/tmqZhxDZRQkWTaE9DuEaKCStweJnf00sh0JzxdEvtH3+0Tv4EyXRDl3raB
UQ9x0eEP7gfWVvpmDfofpZ700RudW7zB3xINIbOXXJ1ERb5B3rvqEQLLnDhAqnnyP+fJfo5YzHaD
mTHpDnFxQC7rvcFHlGn8VdJqkzzLyT4Aah7OTeyeRilf2zU5rx24oFCLvZ6cS7csLRvc2N0ZDjVM
VwW0+GG4NnLFx2d8FLx47wSND8pHEk46zQOkeMFmz750Pj1WHaiiONQnnOQ1tqWo2cWDAscZPvXC
FafRqIhVcn3A7zldOnj76ZxonRse9enPENTYI81Gku3Fm/0ldaMiykgRvAxa9um4WgtzRqnT4Nk5
nR1KmVjKjtVDjQVjHvQ37hb8oITob2UUJmwCGjWrhexi2zzH3ioZNwK5E0nY4IEMR2BE5UUtLTIw
FQTrxWAyL7WA7B0JiAL26K4Q+bpYHCkp6n2EvwvrIn9hOBYNi5GdGKQBUt2pQ2C6g3SiTGoAOlIa
zAe1Q/BJC0yKjNTMlkDQLAEmZwKClBv+gxOEtxJIgR7GJzLLc9jbk/aX6yToH0YKF2gdmr1wioqp
plihppDrcbZPpQ4Vqxdx2wT2ruKgeSqoF836bShgq1dYnlmj5TNyrKdgdg/LMDyaOIIEYpXLXCxT
IHLmSzV0OXV7vWuWeACFPl8VvX9XqaXO54nk1GtPnrWKLYP9CsLie8nJDcLC18g23wI/6NJ4HN6L
IoThXK3fagE4EBJpnCPI9X1o4LEVC6AH44FdEsF5dlqN5QTvGoTZgYf5GylWBpHy9yjW8XKhEcMM
S539c4X/coXjyvsvV3jdlurz31zh+Kpfr/AtqBF4ED1xW0NX2x7X89v4//N2D/HPL8UX2DV+Hf9j
VM7jHxSSh+itiyignV+d4xiPPgbgikpbPKEPy8HfynCg/fTPdziEUJgPPsxj/D3J9jCwP97hvKeT
lH5c3zike+WlwYINe5As4bEmjWIS5uGA852CNHVH2CI+vyRLdz3F0OOKCdhOUyKPAfM27Tc/kofu
zoVBOW1OZQzPIh35cnFNkUUO7rCSmOdy8zZrmJxicztHpz/U1fDWRDNnlgQfhVcOaes0UPTC+TzD
NK029zSuMEtjkcqjZQwZ2TxWyGN11jfhnCFEZVK6ebHA/6LUbP6sglHrLWGYebBu7ebhIkb1zd9c
XaTbPrQbnUBFwYzbnF8+wgNuYAaHAg0CCvbwmpCXcfOL5eYcC+FMWMThJsvNV143h7nZvGZaHH1u
dsvmQXfIlzEPtvQq+JWh6tzCrhb4nnBGw8lpPO9+Kqts5LzJK5jcBfEei6U2WCUsUPsEEq3ZPPEW
qRAGIf3Q+AuQ37h9iTcHPXIXbjlQy67kD8aT7XeEOp+XNQB9uLFUPqyWGmQ7k13/Hab/sVTVvmkn
cPs21CyYsFZZv/CYKOIrwb1nv8NhYsvpxsFj4vKqsmvmhSvP1wShSd4nzt7R9t53xEcIYGuPAGlK
EAs96+jNzG/Izu6CNnoDT6/3tnf3tcUc1bdTo58TItRD7dZt9Vny9WOaxf3q486mttU4OnsRx289
kdcF3t9H1yj3MBtP33h9kdwETTGcFhCWQYLlaKLRwfRwP13hlqkAQHntyxV5tVI30x7R+5dJTRkt
G3Hlz/oTcTzv4GqedKyHkLb+4/z8kjpz/ysfg2oFO/xF5tjiZb+fcwDvaQJdHL06qPTYOPnfzzl0
cKO1LaagVIKfgsVv51zyP3iF8UvYI8J4K2/+4zm3nUrQR5DQ/PuY43Zi/ishA+qexAD5UT6Gqy7+
0zk3AypEbLkIbqq1pbAnIt3476PwTXGDSKzfNFcOKhgOcYG4kGPFwxLwgFXYjDPlwTclRQRfpO6q
3CYmyIawcQ/uVMksnv0+taN+I8sKrCMs39ZumLPGR4VNP0RnEClIJBfyVnbIgfLC5G0zBGAxkEWN
F5AEZQJOHEdcgbqGClyl04y56E2dicicrWoTMBvly0iiu9JX+6hu+lTPmRrXfdnhtB7dBlyv1Hcr
JhQdaUA4UNzLWsNfMg7yV0jHsrJf3xLZ30URlHXbwP1Jau/Wc019ZYNV7xBAV5lX1BrdD92XX/A3
K3GiNg7NzfI5zV6YLUi+jI7Ps7pRV/C6X1rFMcTGU3sIBjR+9P7UphUYbOZrHF9rnPQpGeezv5Yy
9/r108bFzurxTJJpT2BHD63eD/6Q96io8CQZ0fIARb4f/U+ToJBkwiSWuMxb/Yta1sMaorjC8gLC
BpTSsSkfYwtPra7bA2JZ+azlY504YLfVXdu7Z+EAy2nA2fRhczfiJbVNgK6buezV3kDI38VReyJh
864GgYWGFhd3TC5oMVCgSQsVnXCV93dkdtviu+xrWP+Dr7m6c1aztPuGILTA3cr9BqEm0bCtqh8e
Mk6zQIqu9OyPZBA76iUczA9+ubTTZxeQIYXZlbBmnA9mEdeBKuLcmeZlhxza1+REPa6a5RWZy0ez
zndkJN/9vj25en2Fu5SkUTgAAuDBR+nNp8nly/dadBWqWFq0y8CGisd+hHGF6Tjs7xDxPtA+di7o
XHlcSnxbUNew6vL4ppgBlOBoxLQZZlYY+CJVlICJWNzDSr+I1AEKC8zzaJBWb9rAgw3iXVc88feh
U6IMBbUyLQlx8SIj6Gjxg0OkT6GHr7t4wv4tF773nOG1nPRB42OTqljNDO0RrKXDiiVkoyOQzJ6n
oMAq5twuhfOtNy5AYJ8Ap5FPCGdwdE94FEsoVgCU2SBrfahphZyL0ScVwvAXaMawXRwyEVVfgzA3
bRO8jUNxiWqsH9Uir7GUnVtQsyzSyVmhxoMh/TOmErN7L0qBQNk47bsZEW0jfMK8BK2XVfy6wh9t
6g1s4K9+5bcPqwN/AOgLCmy88Ik64mGGouAm07dOBOWxFclxnbtzweP2XOjhWzQXexQ/PThRdBR+
fOMkw51wo882WK+bpj9UGu/NNQJl2hJlM7Tg3I+j3lcoDuC23PdSJHk1J4rh0xN9H8bhKDxp74t4
RO5G1btmns4Rcpn5PyP8LyM8Tvr/PMIza8y/m+DxRb9O8FukDGI7asxcEPle9EcRzsMvQftK8C/c
VVvU+v8n+O1By8hso4/pd7b/1wk+wRM8Qd0noEl9Stwk+FsqXAJ98M832/Y8bqQXoQci4/snFW5s
5wHFNMK/GebAxX4+Hqcl6DIiffiDUbfTvgd8wCwvFIdpNvDgR+/HF4P1MAu37gk5QyM2vTgbeFNM
uQo3odsjxNrabB7G67nfgkxJr1Ot7fuSqFdR8hyFKPdVIPdqMSfP9+67FjKd7BbkrltvgHruXVSD
ahfkk56GKtFpnTQGrRDFE1IFLyEqbyCZrHMazc1NyP0bMkV50ukThRNchat/XEcQkrby4nQU8x71
eLkXt18wEe7txMOT4sUenQTvcbmwZFjhITeaVV7jMR/1MiwKGmBqbQFmEDsIbcXzROz3ah6DVFTi
ANdZIQELWKMR6CkykEzSsvWvK+R86yrw2dT3X90oCJsdDdGjjm/Kpoe4yLsbibDTaW4MqhxKCHe0
0RXaKvot6swLRHG0m0E1WpE6Ddav2Bur6zGgP9YSP9y2aMSdB6aViaH/FBDqr6Suj2EC3qnw2mUv
1BDfDEhU5ZROeNWsAJLGDU8rfOxRHqMEg6oS7REo4Czq0bMRzJTfuRze7tpKzjqOVHmjfM78acLV
0/g8d5daHnx/rkHrl95eiq3wbUV9WTSjXgRKBVpKkMqCc4khPhiQL8O1twsmwHh9Y7y9Ae6RK19e
YDacVyNvKkWOZuFrVjbxV7HKiEnaBLkzlH622EXmpKDLHhR7nbsSBAguvwXuRpfsjQQUL+fe7hMP
JR8N79Hghnqcewz6MQDeUOR4np48uG5RZCD9fDb4vnNX46GorFnxnXZzFIHtdaNdzGF3y2UCdoBw
Ve6gdAfNA1V5CqF67bknHhdvuAXzpnLhxEhgmfZd14iXlCKCSQwn/NQmWIA42YoK1+1HVHrq+zSE
8kmhYYgNIlGHxaKV0Zs5AMdCkZsQOQ0m2hUjFX7uzO8RQ48nrCNiCqBjU1t+VA24RVfSAlHCxjm4
Ru5sWOdFoSCUNTDGm0T1DBN0w6ArItwgpzjr26ZOo1FGdyuZ7+Rs76OpqfIBg1GZ1l59jY4yc0CN
zZdR67sho9iZFlRQndT9VYlKktSfo6zuu+gYLRNuQYeO+7hQwb3n2Ocy0cbJXGNxNQlvJgQjSfsD
LHdOV6dCqQ/glQGw+N4pl0fiTASTDI9SjEQnhWExnyZgR8lo4akNC65xCPXoh8pLpZwTSORD6ftP
IxS6FG7eY9PJE5XqdqJD6jj0agi/F9Q7Wx2N36Bsf06RuSAC5zCFDTCLJztdLPqoDkliJAZVLNu8
ci8e/jTRivM4Bl8d6ptSstZX7uQS5ETp8xqjfa+Ua4yFufkYKCr50Nh11HK5Q1/GBVM46uK2wIxq
YlytJUFF0SiQpln0zEbkTtCo2RzVACGCDn64Wxa8hKRrbqzDH+q5+O5q+wrIA6eg244ZrfpzOZG3
uYoiaP8+2t4GcO3EgpPcqgKqoM9HOcASWEkDmXS8wlz8YoHIZdQJbkELxUw3VB0R68L/07gSYl4N
VtLos5XuAU0vCvHDAgy47m5KhJcQQ5cuc+YkM3P/ORTRRq+g40B40StMvCbMtZqvlGd+6IAelQ2/
oeAlPJYN8LB+fUctHcrXNLKDIqx3Atw9qJ81qyN6LSROmUQ7kCKBbySAZEdNDk4XHZapw/hVosKv
nO5Qs3qpvQFifFm/mzg5UOVfE97unaDbc5Su4TUF7Ubw38M3ESOaPJT2ayjpLVocTT7q5Wi2kdtu
61RQ3aEoy8FdYNPaR7GGqe8aTOtIXT7WmN5FpA5oBlCZxVxflyZF4QNKDoqBgptYDwWKAMsa8X2w
YgN2A6hsn4XFCI57zFn2Q+wNMayNqk55pO5dYPP/zEb/v/ZDjfzPsxEaf9/wwMW34d8onPjC3+Yj
yJjbg1fAI/gu/g3zyR8UTjxxBz7kz4xLuImLvyuc4fboPRetmsT/V4Xzl6wNXMoY+eGNfvhb89Gm
PPzrfITg/vaY3QhEBZ7ESrf56Q+Re8VjXCRjrG9coDAHrOB7wbGhYmE9WzoucOG94TJboG++u0In
n+2tkohy+6p570HEoZkGkdxFhHni90vKp8gHSim6FJczsCNn8jJhYrTLdNGaYaFrbjuevIhwhZWC
AGM6u+sZ1W6XPgwOsU5w5Tpi3y3tSxFznSLme7X2C7QxXY0H1GOc+BZdQNPEaY1LYI4BvUKrwRMP
QQ6YMr5LJlplqi/hjvZvYFyx+YX8eWzClk1oWkW3IEWEfFyvIkWRTEAFHfH9b0mtX6J5PCcVuUy0
fnTC5spgeQehJJ5UX+CwIWiNLKYNnbpHnmNHuPPqIQDOO76DEUshA7cXwIbfvDi69gVIfBHO+3GG
SYI3xZupYW+oGZEKh5ocmRMBFKquEcEH97YU3ZLHsbL5OI4LikObG9SXIBnH/YMWIE7hrF1PNawY
vk5kj3TkTkYdDMNRIrdJVOp4661fRD880z5WFuEbpCeYz9XtHES7RTTHEg10yIwOt5GlTwL1KXkb
LN9Q4AKlcApb9BcEVVqrUu+AGQKM9yhG3vWunxXdEVGfZlJ/ihU59Nh4T5HoCRrXvCLF7ngjR+pd
1wU9zDF/6K4DcYzg0qKt9BwtyMeiNmlX0hECa4d2MbPK3PhmRNtY/E1EmHZspzyGfqQ95HTFqkb/
qGikM2kganod2dUxusNcDNRmOZQLQI2mke9973/iibSfmMj5gXfBNUfvGkobOLpyxyaXSx08+yGY
MAQucO2gYkmr7tSE0bEOCcoMxa6POSw+9FzmyzwjDsKjZR//lF9VaE0+jc5d2U4fyVpNfRq64Gxc
+KVrh64CCgc1cJAh6eCpJtHm03kFPPgYmZn/Y+88lhtH1ib6Kv8LoAPebEnQUxTlzQYh1/DeFICn
/0+px3T3TN+J2c/iRswNtUSJBApVX2aeJOm21aUMWzbjCwTGWxKfPhnOlSo9PVy6XEfeQ2kMxjKS
gi5bP4gpHlGf1OnxDEEZ41GOBMy0B5ezlV17Ay4+PcABiF4MrOEYDK22yKWUnEnakeOQ3HSR/teG
lJyJMKtrfLfZUgXldphQpgMUakNK1R2atSvFa0kN3uG7axdRR+hGmVEeTbRSrMiXZcmdkkghnPDl
OUAZj3JV9Sspltuo5llhP3eo6G15FZtmtWgQ2F03D3ajXZ7GgIzygAjv6eW72WaowMjzAAyqlZO2
KWE7JfUrqeILS3oXaiv0o1khF7VM5mddyv7NMUl2LVaAGGcrk0EugyEPXibpF9Cn+iKQDoICK8FY
mdtCixT2qtG9EqYfac8toxcl1zZGhNZDe5HOBA8wMDy67BY+71dP2hfCkevOkI6GsghXJljihVIh
lw5hXRwVfbQuNLwQWFPr0zjAu3SlUYI8ReCP0jzRB0G5DBsMFZEYLoYmJasnzRaZF99EDVezZYba
rsmSiOgwnzgUTFjS03xFPI9M0sw0pc0BUFS4Ooy66dnhc2NFgA5wpWL+wHoUrAdSMX5Zd+aWtDHH
smifAo1FoKivctM4ZLhJgELdBlKs1PRhH0j50pjnETJR2TQJ2XGteUw9hkEruy3sZNn2yaEnacbm
dDByHR0+KHCuxS2hZyJOx//mJd/mJcwPfr0n8D+y/zuRDv+7mQnf+MeewPhCPp6nu/ab7/G7PYHJ
+IM0Byec3/TL3/cEsghAVVEKPssjVF2mbH+bmZgatSA4jXAq2gbAhH9nerR+2hGYaJ0MZ7Bl4nc0
KZD6cUfQBX3SZnOhnwu2yGoaH50QJsowfds2Ahz8FSBPigp/xnL5S3QkROgObIBgvMOB/vGFoD+n
nBhTcbYsJp4dsFFzZc39Po+hMZZ6mEK+hbuideWlN/XHOq3w/TawUTGYLAUM5VXaaOlhaCzPx3MI
CH3CH69YldRem0fRkm3M3YihuBx1RG12U/GCS73KztiMGSE6BdTKWq99F2YoGdVcHqPdQ52PS48h
z7IAzymBO4wH0mId2MOacE/n96iffpuOnPXMB8V1LjyzBzCiGY+RmZVLHvo3LDrXSj6eFMU6dbGK
z1hwdKA7YNd4Aw7xPCRur90xFs0IJAyE5OTQtR+6K6Cka2H2D57bfJA1fg7z6amRj960d5joT/HZ
IihnO3m8RgXf2l7QbNpIUmua5q60w23sEvfIoujAaO21EFG6HnK18u0BtTQrx8pXenleZ/Fba938
rOW5BB0kl6YLw2DKwA1Xhl/b6XPvaHdNG16UY94vSo0gUN1vAG9sedoqDIUgRQvCKbhZgEJHunWj
TBX53I6ImuM9ex1PPWP0+xqgQ9ub6YILwndl5gS22obn3VeXaORCta0LZegZKRfMpGqEGc2ZTroA
VzuhBIlIi9eplp2hwyZrwxAbgnAXYRiEi04zN54MSEciZV9lgwqqau8ZWseW6d11WcyTb8ztfWxj
LgohhS6MLrtpRb/TrHSAFaS+qbRoLEIx3WdxbG1GY77UR9xBbZQQu56bd2hE77rIEFwI4ZaZt8M+
qKG+iA3Du6sc7DvxavvoGDNBl6x4m5OK6B3cttwub9E98MrXTroVvbFhYrXUjWDN2RxmKZcYjiVT
RABTo/qlSEDerWdXIbtIPJw8tzqmxH4mvSGsZIq68MG9rTVXyIN4M+6zzMIuM2kyDrBrTONdqN4u
trT1MLP1IIBYDfepZchxgdDUeWERt/D7EURSmug7g2enxuStkxsrt35BvbvWUuXD9fiYaibyJVcj
A6IBdEnbYY8SfilSbafkFqMuMRxdMs++wrTIiuHpDe0QS0OxeLITp12NYQV1Sg2WbTWiGEpIcHus
EqT9rt0K0T3CwOexSNx4SFRYyuVFanPLGkV6RkMgAK7sZvLWIDuiiNTHxAx2iN9tQRIzEQn0r167
htq9GcvuI0XXW4494xK7eiTqiYdxF5kN+GZlO9nOy5ioz7MFatLJQPZO2XNm3gyiZXDV76uS9DvI
y6RolvqaTQ5szI4HsbEShrkddGPdaCAQ47kaNoaTdGtVY3QaDuZzYWqLbiwFdMamwTpQbXqtuAT+
+NSUUBrjybyne8S9qBQo8beSJBK6pM+2pU56/Z+W0R9tpnIV5XFhInxxgERhBnjzwwGubVvDDCZ7
OgtyrwtzE+zHm/Jil3QL5aV4qFbpjjHFIjigPfV+sjF23z3gzt+W6+85p3J+/uMizst7Ds8d5tgW
Q5sfXx58lTUodj+fB+elCnae2pH/elbKfPHvX0dXNQQFsFW0zv/UCOJ1PLNiYM1nLT5SlEI+9gO8
Ih7xf3idH59+395O3k+egUQtHXyNP/49Nbt6q9ci9Wxbh8bGN8I+z3z433+L+Xef2fd/zE8v0hM6
bHUcJedh3d5jjFwNW/WdzDnO04uca2xx3awYvq/17d3J9bPFabiI1/ftKlhdJXux2MLBOXY+/9Av
1/xvdf+/fz/9x9TDtzdBxh3g+hl4D37m8GUUTiDiqtoZheJEanKlXmgP4R4CKPtff1rsn7TNuDzV
a7G1rGV+QNa+YnS7xgW0/PxV/mOuyAa3X28kL8r38u2vg6XP2reX39qkvC8eOV3PJTDMhMni5/0x
WCJUY4FXwBxv2NyX7BR/GyyxU2TGY+Joxm1CgIar/889JGh1xDoDezzqL0mXf5EllmOt75YF8M4k
cwjhQPXS+Vn6z4aSuqxNknhUFhGbtdxtnQrCmpZzqeF7bnCUKYEyr9KqFIwye7hTns901Az8CZI+
+xA117obYWuh91W47bZRCiN4qdI8URm3F5ly4I9ug73GvFZbhbOihGczLfA5oaZE1YATSx97ajKs
mXaIDGg/uyuncORserKhAfQd6WhGpFPvMKSiOCLaoiiBaM8SC04VfA5rW2Pyoowibxnh1CJrLkNT
ugR6YxLOKnTVEhuxa/vq3PXKh8VcevPfpf/tDMVy8+tLf5X9n182pD/+evnLRf/3MxTOUXl9qbip
2DT+CI7TvlA1Q58ZVlDCFzLi8ftc1fvC8ckkbKYTmueMxZd+153dLzxKuWgt/PyM5P7dXJUQys83
gMvP4aGsEqN35M3w03MkDEZL0QbSH2Z5L6T9G7Sor3DqWzhJ25xpAsIkzj7x0TKrbulZBLc7hzy3
m6P7tspQkJ5EL6b4rGGXZz4wQHEALLtA3jRdW8/E89e57OzgPNAsO7MvV3XgDcta2toT/O10nQCT
G90I74hz5+GBZ0NVrO2ZXIODP57HQEjE1dnBqnwIZM5zSKqbpozIHSixt9XU8K3Abz8a6gH98FSq
ETZraclXm0RbTxaZ3gq/fibizSQN/CVOfmZvTwGU1M6uWrpUyA0PYbYOa3pqeoH9G1H11QZQt+1k
SKCht2XtleOHXdofjuslPrJi77dkC7zReCz0sthXPTRQ2u9e9CG6imQggV/zzSvyy9RCgTIGZ6lE
dklOGm/NiqfuJtXwY1qYL1GJ1mGJmhIwJ5qt/MPOtNUojZplVm3Inb87jbiG9x1uoc1BKxgsilPE
PPtJrNirXhkvnUgYixg7aIwtdJD+UGzCcLE1kuSFdI8m2EizAZin3T3TFEJVgnSa9lhOZ+k9ddXp
HqqOcM9jS+yt6sYZDYzdoHeMiGTPMpsdMNdctUlPtc6I0mbO2bjJY6bbdZx4u0omvI1Uv0MPIiwg
09+6Gy3mMDWeZtVZVPnC8/rb3s7CEwYv2KifGfJISbeVVa5Eol5rTPXYX7tMKRnvgpeN7+XYF2mT
WLqhMGoyQuqhKrsaoa1SawUw5xwmATRNku26rd46CjEdkRCx6ZkJkIE3+4K3GIxgkIwPlRW/O0Z+
hANKSkAG6EXTwU1R+hdThusT03hS9OyZkyXmZPL3k2eWxJSSra4yNJYR/ZGsvqIT2pdk8alI/ZFA
f0Gw3w4cusV4eNBpdpPPxVdVMgCocwKXI7kAVRpSrQcqQAMZYOmolSAEsqg7TiAF0BKeO3aKnI89
kgfKoQY+oAIhGIERTIJAcx3o92GOQSxqgls6rQ5dwjtU6aG5NiTVIAVvUIA5CMAd2JJ7kAEeJ/XB
aZIOo9cWOIJoklMI/F0PZEDKGS6FZl6DeiLWHMRXDYAFArBLugj2IdGk3haHChBDOHX38qQeFhYO
COsyAthgAG6oVLIkaTs9Wr3rbpJQ4sNiZD2WOR6btYKDRMq0Ab1MAK+axwZghOENF6mh7yJYEr2E
SgwUnyxrQ+wqCZzggsVcoWTXOBBeKwmncFIwFbPtbmTRxwpN0V2Bym9XEC5zAt0YCiXoIqnyhPac
ajm2hFckEEOuuKxSWrlKoWWUPYdvnbjquoekEarEdjQcdipvAWvSlTHZF0nvvVk2tsfKse9027ww
zBoqsAR1DFMF/VAucU00Y/tWb3SoHpnEe+gS9NFid6GtIdvmTMs1CQMJJRbE5nrr5/BGU81XR4JD
Qt29IDcbbMJQUdaMrq7BVTdYPQCOTLrzqlOqtNIkjMQEsjBJPEke66a0E65TVNmmm4ObpJ4TiGLa
bSHxJj2e0rcqUk62RJ+Q98SZHj8I+MANnOAcXvDM6W/VIQhhd1Cxn0iqcNxKwjAjo/wh/+QOzzqN
C509SICCdbDc5taTaZRG5lKovnsu59hDiBkM0sHzI9QA6uWG9tXulHo5983ZjLNTRODFIPgyEoDR
ZBLGKJp9NuurlN3Iqu+sK4IvF71Ht5UtczQJgRqXYI2qALJsZNbGEshXiAG3BjGcOIBeSiwnkfmc
lCAFv8386MnoTj3d55a4qkRy5nrgTSDkkxP2mS1G0J00zgxqsUET7Dm7dzcFESHNbvewCA6mOt4V
OlRSokQ2kaLKI9Pv8h+jTBs5mc1EQiaQPJv4cCxTSYVKcok11hdxtS0ILjUyweQQZQoTG4+/TDfR
jYHm8Jl4qpLdLDNQSkpt0mcqSuajMFfpOywRse/J9FQpc1SpClmNQK+2CEcmZDJt9d+u7NuujB3K
r3dla3wUf4eBVPmuP7ZkhG9slUgOm7LfgI5/nEjULx7nAXZdtsq/kNW3v2/JnC/8f3zs2ufk+nO3
9vuWzCLmzxHC4SzDrBg+wL85kjh/Nbl7Onk7MsGOZnGoNX6alKQ5RqkRuOMJk+8+7OqhuOiEPtlL
iNBVRdVZ3MPqEG1LcV0ejvelJxPqpVfgtOmSCFZYe0NX2+RHbZEuRddvoKD6jKAYyqmFDro0A2Li
Ja/U38TcqFa8mpSWgiZqlDBDdowIlSeKwa6x/j2IvtTSqw7v3Q22rK0HoatwAhwg3MkhvPpTCshe
LOqhxmamhE9T1UXn4LMJIsom52wVLnNGEyO4sbARxkvf+uyQsCkMXAesU2LVQkzpaJ+UjRM9D2Io
TvRQpJ+NFG1aUn2SJHA61OaCZrm96K1rKzQnvCvFvTpnt59FH5SIvOlSabejHkAvTIOmS1jPjNdI
Nmw1inmyex3xfLzvo9haGmwIlUHxlZwlIJQCs1lVmu9OAtmrcMyVZgJWCwyXEWmK5GfdpK64TBI6
byclftc95zbvzQ/VBLnW5rwplttdOUbKsw+Bdyv4+SA4q/R5MqgES0W8VWfGk7WcMueZe1tnmr4u
6d9AJOyUxZjo24hcUjEMjZ+LeGdEBmH/HH8l3WozMdO0WOnA01k4JgBT+lUgySKzESG/m/q2TJmx
0twhlt406rtp0JiP9+q7Wnq+27c5zYhWgHjbbvLCewmj8mB7zqE1sPfHLi4uY/ZunAAzk0eh2Rgo
77BY1pk67gg/ncIGvxs+Tr9qZnubFxKzG1Rfu5KhpE3dyaJX8jdBFQy03+KRSxr6qDc4W1tu/bm8
rlCPO4A35amzEoV9Y3Cm6vHKAsq3CCPtOqgUxjU8URfq2FhLnJmt9Hr6kVU+9okOqCrs9h2fYNf2
a2gK8Wa08GzYal2u5sLc5cN0OdbWg9Z2J6+Lb5OOmtlYbe/zMLqWzW/Iwj38OlvZsWgbiyFqricn
uMWIdjXXPbeIBhIZ0gNsqjieaDMIzkBGt1MWKKCilbemViJfNat0M1k8pGbNy/CbQNQIrRZ0tGr6
FN3N+7JyLhO6CtelawEX7AtjmQ8ZdFRTHPE/vEOl2Me0mpAoiS/spIIorToHOA7aRvUoL5vImGjc
AL6pJS+wZcR68rpLrzEfB7BlS2516F9Tbi+j3viaT/1M9W953c/VsusdshVwJhyJy6NIDvU0He50
idJTTK7OQG7pWjh72aTPPBydR0tA4GN8vxsklC9r9B3HRMM3XPcYDRhZbfKpAH6A+Yk6uYyh+9lQ
/nJof2HEtS0ih4g/JMA49866RAPaEhIoQCnBtwIcWEMQBOE0YEhQvwawBalteVNhDdbC4Dkfdpwn
FP3DhEfYSjBhnuf3uUQV6jALJwkvjKEYltAMLaWcrEFmDyCIOOZoXxmJWzmEXNSJWt761RBgP3SL
sJhM0EsapK2M3WpOOV0N82tj6E+16xlbTyXCUHnOeaYmB3xuhBGiwYiKI6pYwCt5I4Tb7lSnu4mK
DqdapWaArsoJmlCasNYaz5Vt3nQ5RYyC+rU1VcLCp2Ix8ZOqKshkq6cBb8YKQeNjmOGpFRY7y0Qf
/CEonW2aFh5BSTNbeH1NgoT6BCAJAs4Qd7LWkhRUA2Gd4tGK6SKtR9Q++mgMvb4WBRuYycWRo1EC
mMbFyOcUEzs3Jj+2ksmfkqi6yB2xm/LgOS9GkkuKma90B3fraHC1Vk3yZjNYwruczCurCNahaUxb
u2jqXVmZ6xT7jh85drZ2XQ5+rIfgT5P6uXEtWiwVvILBpmTLfhUp1KzC4fKIOgt1gXrmrUelID0D
QuLKLvRq7dTajg7PY+LEeI7yxN1wTgaNgPcdyO407aO+f08hAqyjqjP2egWfz8JtQV4iLLZRUcx3
M/hen6ijsrZwVy0UNveLkKrMhdUN1FEEEiTsElexqB/MvH3gzQclpq7K1TjfBCmOoDzwMaffuIpj
H+eWk17U42Vi/3+u+ui20NHcUtos1lAH4kUfKQ3FEN2bXcPEzyEAbUYX7XbSgNaThAdKmUXnLkZq
DmbVT2ELbqpqPhA7O8JS8InOnAdA6isjqVUSWBy3Y6c5eVby5mI/A/DJQMLxOKZSTg+IwiK47k4r
0OIoLnONtKqKe61PX8pUOWdNfJMCTliqCAyrRDY2NWb1kZHqCXPVXHdMFP0mNvmROJ19kalPFZ21
i6GPT4HXY42CieyLugmWZZAeCpeMWzIm4X0NMxo3xZPNYWqhc+tSifsVa/iTZVBxFXWn6lMI7PK3
wNK9FW2sKR2q2X1fusjcMTKfrihXs1qpvpLFFxrgesz/6SFr2ImYPFMtiFlL6hM+ALThBA2OLpUx
G5jWe1zXVIKkyiKxigdayk6jBFHbU54DajAhKDd7AH8HK8vflcr9KkaOjzYTFBqet0GbfKB7r9u+
7DYt7bFtxVdFqdyriUq19CFPOKv0Dk6h9MXrk1cqJ5dQ1FTmpc4Oc7+8alxI2Hazn1vAtXTX4qjn
pJ4w+hlnrueYqqy1rpsfBqHnBQ6AmzgJ+ccs4EOOa7XJtIVJHhUPnhtv2Lk9swPbxSOEJHY6yLX2
frbKfNlTn2LX7iLwxINm8MOrsaQHITmkTK02Rt69mXgKQzDCywrXjkq1m9zEaAYPPK8IN1YETXhy
jROi6l0jKOEDxhgvlao+V7F3BJSEgQBHXa+QUAN1rCGIA8wuR86lerKyNbiAnC4w+pBqXhNrYPYz
o21jeLzJB5pzqIIllsi+c+FmMT0DkM4KswGGG+3FlHyNNCteh8K9nLRkU86bFtqZ7m6aqfC18egq
6W2UDbgdTHq8cYBskmSAWAIaGOjSq+GKtS3CV9eOj6bekyoL1IgPq34BqiHLZQU1qJU6NAdun9tw
YqzG+e1eqxyMXnQltM3K3RphttXJUgxd6geuUV0VdpODtihiG6sV8HblIRrKUl3CMmmbPXK3yJl7
icEd1mU2KNPVxKdTqFas+GaAcBrOjohpME73JVyRxZhS9MyZczN7IQf6Eha2kxAOTSEaxyadZnna
+8ByH3Erz6vCHWrO/6FGT2tCZ31xI0ybzKOBmz1pHkAbW1ibNf7SuFuDr9tFjvkC3eo8xrRQRw5J
yCjucgDm3CFpatIYIQa4uQxGeJxM7AtVHmwtjzQ+P/nZsTfvPUKJXnSsGxLnWWX6Y+echi6+9Hrn
KNs/FkWbvGje5LeeeQTOxe6mrF55tpCgybJlWrh3bRyb+65XP2YKr4FIqng3B3drDv0ZdyuoLlkq
z1Fiwb5G+HZQvDcipwYoUvAQlvOaEqajWdP6ng4UcmJEtfJSbFl3j57AITBZPOzIZ8CT5o5OdF4Q
OMwyNbN20Wo4FlpiM+RYNpXObtfT0ue0jpdmdJlWtHJY00KMxs5qSG147nBSqGdgRNld5lbyThYI
tVDDzjvFpzJUTxb59KwYTqYOaTCnl576pkYJ96BFH2gS33VR/NQ53V3llSjkND/R5zrazg2GgCX7
3tNU688xIFSvVVgZ83A300y5S/rsmV/wLpJHe4e94CoC0HhgVXg283J4yOchhFOSHEa6jv12oJ99
yucLMUzYKW3tsRpoB0rSKzSel7RysQi3HVeC95RZJa2u0UMumIH+d6D/dqDnfPvrA/0m+yiKv5FY
+Kbfz/O69sW1cKx/A+l9nsz/OM/rIDhk3xuTK4tChT8VRgNdhui794fG8qdNjS8ZCJZ8TYdyThfE
v2Pz2fyknzRGi72Nzc90XROqsv6jxEIJM5Te3vUu9bwhE2Jpc0UnjgwiG0oR6SsrouT3mZllc0Wn
DrHlXCaYZ6LMduIdm8JLeVykrymDxonNwqB34XoyYaEvKiOjtqsxZhpPjXrVD94Vx9SvsiZ4SXCY
x6G+UYh4hG3MWYWeRKIfLhGQsVK2Spy9Wg2ZIycpj2EirlKZGrG7xue8t6WeYqty3CUcJZYkj+hf
J3KCHe+kswOKZRZFyFRKr07bSeZUCkV7TQiujJCKdo3rPBK82c2NeGM9vCBGngG75W978nAEdzIJ
w9D/owE0n8qMTCLTMoRn60s00jVumGKpD9q2JlozyIyNkGmb1FAacvckcFQDcHNPb5HflvRAENVx
ZWZHyPROI3M8OoGeyCQlZ/ThupFZH60JnVVC/Id6ywMa1eDXMhkEaPApJypEBRG7/vKSEmyseXlg
rXOZKyJHuQNN7HAwJLaiYSzyVWECvJeJpEpmkzj75ksCpDiHpqvcSoGV4u8m7Ps+5YO7UGXGqSkD
xBXMOEY4vQAigBOlaV87XdlrBKSosjki7ZLgktmp4TNFJfNUpUxWTTJjNRK2mgld5UohHvk8D531
POf0XMNYwTJMWCfZQ3+6ETK91cAzaH38N3V0VPSi5zEWp6EsEMzKCGMvvGkMw6Hl7LLWpS3CGqJN
7Lq4sWAceBc62ei9k5bDBihXueN9qdSVqcLwAjji3dBU0XvLbNJGJJCSccBgTeaG8b2Z0ZU6hhtt
KiN0u6LRj06W9Q9uabtbeGrq43/L4edyaKDQ/no5vHkp/s+PP8K/UZ3lN/6+JGr2F9XV2IMhL5PA
0Vhyfl8SKcFhBMN5l+nmpyL954gTuy//nFOhQ6gHp9Z3S6L+xUKGRvVVsRpRlPOv0jy4hH9aElmJ
sZa6hoHkzOBUlV//Ls0TJ0kEsqEzLtjRgCMmEtlx1CJrl0pXrajQkYbZAYVgqpU+UlE2oRODHg9h
IR/BYTkvaVQsja5ehmr9nDiZpp2F1mLPS9BrMHIOhXeZl928D40+i3d1N+m3JK8Va6e1aqMgRSrs
OAIjwLBuw7QhbZxoN7HjZeZhDuesRbkNbXHRGFzbV+Q6N4NdZB+UxEA+YwALi8KE4E7zrKutvdqN
h+uunrqdSdwODXeGJLwK1Kl/nk2HLjKnjtSD3nvBoalrMBAFhtdVNHr1sqlpmmIVjQ9WN5nHICCw
zXIYeC99SwEJ4YMAMrNjQnBKi6g/Y2B9mabi2UnDt4R89AoXTb6sbOuj6hCOvVIjIZDX5rv47Mpl
Ha1DxIhZtdZdqvTPwg5tHiEqWT8Br2TpeiIhkdS5D5rCFMwD2fE2xvawbY0CpY5O36NCIHubag2E
9rofd3NV1RvTGkowH8QR8rQYl5Zb4RNtGEl5gPL5cDHyMiaBDEv/c5cf3J7suBU0zsVkWfOOrSIY
BGANcCGijSPZU02opwtjcpNl2SIfOUirlet9uGakbNxh3jITvzQSOrqnAG650kr7WUCdCbvnR1kv
7KOHw6m1rU3J9BxgwLjsokacUlhRSzWKsErTi+Y3lmOtEqXSL9UwTW8UYRnXhW0XH4lqNvu8jouH
ZDCZisb1e4Heffhv1fpctTSsg79etaDRkMp+7/66j5Pf9/uipRtfpO4CggHDDIa+7xYt3QQxxLKD
IkELI5yGPxYtnGISnwp9yMBsyUr3nVWMSKMqy7T+VHP+hVXsZ6OMSa+wi5NNAwwNxvVn/2rXk6x1
Skuce3UfUqg4XZftNyfVL6MG3zILP7pUVYvV0ANgCh6Ov/fHdVFDDU2StK3OhsDZT+O71eLljQy9
MM6RCstSOs/H9GouY9s9RVHkPLKv0dMrV7WmZaTmo77X7WrZjuWujsZjHFDFY8SrOdYYY87Gcpqy
c2ApflYqu6n1iAyXN53KujlFoOtr53qM2y1kY0qT8nFNXbnmW2a9Vyr4Ym76mk3pi0Kov6+qHeHm
R+4QhhBxdBl2NLrq2c6JMKdpY/OVicymymLhZ+yzNnFN26+Cq3jRWWJbD5yMeye5A45ZG+2SP+8x
tNWd6mG4NqjNheb2gRsOovtoYiXJP4KKHJObV8Be1REUQdusQeEcg84RvltICVmwfFSO+jq2xd4w
lZyRfHE7aCE16PpdM7In0ePuIc0pBoom8QYpfz+ZTbGuk+qiiEbhe7VD000cWMugbG6amHi/Y4JD
DSfjgp4FrEutcZUJcEDz0D8qiUEHojOuOHWAANC7r4kDB8+N9ZLFviSTYh4c0Zjo5nW8yNKaVgcV
2gMTz3A5Jn2xiisdH8LgpihP84OWl2g+yD1lr1xbQsGUoWe3IvdIhrnpk1Kz1Omi2nkUdZ6yTmhL
jDP7liV7oWq1udDc8Bh2b0ZSrj2aOHmG6ktzrJkrZcVDMAPMCGqXMXmo7Ru3b/xuoF3Csd6qGLuE
mBpCtOab2+aR7ybxVzfn0B+a7uzXnUdJr/3VjMVSreOPuEba0NpkG+nwYLXRXZZhfh709lVLEnXZ
mIhZhFB2WZyiYwzdGjY+lioas5dm24mVqageVV/9GSvA3RD20AWyDsIO9csobjfh2MH/d8J+SbXD
KjMJgQ/s22e5p/Tc5EaH/YOJgkGONzykKnOGeLK/Jon3bGmpTLrhhjfGlIhaEKUXRU49QJjEtPda
6l041TeFaVVgYY3LkGIGPyojwcU6PtP7wdUjaiKKgvfDcWjtsgOSEZw6hqT4MOGarIdGvUvDjOkK
4blRkdTxsGPqrnztFPcJOAUugDRaOoaGljp+Vs07AMr0VWdM6a769NQLs6kDiP8IbYRz6lsrFLRV
2ClXuZeldyltPDuLnuuzbYjbutbZOVcfODt3cVrRIVBW71pXI6YxWsdUgQaQCvBiTZw8mGYHGSDI
mHPeF95q3EzRlBxzSWtUlOumTzx5PsrYvgQ5rK6B4KvijKXfeDTXtZllUVVM9N6oyCsYFyZoNE6Q
sAPhP1TcmzJmeWpL55Hyio9YHesFyxoVLpTI5VkF3GU6cAh/Ucb+wMaDDGv/FNI5KNec66bQViQ/
r0vN2AlNuYbT4NtKeK+n9lPrWujR6sETOGMd9zyBAJzbbj0jy8E+fWfElDFJS/y07dIV+IFlSiLT
aRuwsWgTTTWcHFhPTZ1miJizj7Yr0LYZLiaugsKkXE5dc5/HXkrXSvvRQrTV6/FBaT+snitxsJ21
YcI9WQbApXCoBYKjd9JPirJSh8m5d8Jh3NR1oy+TkAAu+5yuYk9BxUZpEu6cwcIORUjnasK6tUhL
s5oWOeCbTTeVDT11nCZdI79P63YNvvpRiOwe8v4T1jfjSu2t+cwDr143Wf1S69ouaoz3MXAv6xmu
LVVGknyBcRKlwo/rwaWJLovX+Zx7t2buThdhHt3EYfiKRqrI3Vx2aBhvcUTuiFIUqGNmFz0VOp+i
iG7juEx8z1D2/dA+9lo5I47QtBfIeEzF7wdRg2fP0ktZA0By2n6L3/lS6Vzl1k4QmqbJE3S1g9Pl
Lm8fAq/tfbNz8i13s+vXWeeb9jBsB60TG+bpJTS+ctqIQqWTO4N/F3bojAgH1lZQ1ysbvs4kxK9b
M5IjtQ27Lo7VSgDLGeV7trVbBgSPjTbehFZj74iuPZaeIJ8dzsHpu73I30RD2Dx8N5+RKQKVxBBn
JZsJjQPQ4MeHrp31Fcbwuj+XLilU7ZJKIJvf2mLGkfxTpOLHXYR8LeZTtmZonIkcTj4/HXzatoSR
KVpxdgOqSe7raR0p/5CK+KeXkF//7mwF3jDLRJ+Jc8WNCVR8EQ3PZnXzv9+zv30Rj/GYw44N7/xP
L9JG1B0nVCGejea2Lo/0DyrD7n+/xF8/Ft6q715CJnq++zs6dKdQM0dxNt2bvF7POdBFcVk4L8n0
D68kPc4/7rp+fCX5m3z3SjQYWrlNxPxcU2ypFQjs+r7PGfeuhnw/57/xR3+5zftrFEmjJhGoAygy
g6O4/HW+e7kuTMa56TTB3OZRo0PIsW/D6DDl/01IvvFOLC62X581nsrsb4Yj8nv+OGdozDlUj5kw
Xi/P/CGRQpe7Lmcm/8/eeW23cbVB9lXmBdqrc7gcoBsZIEFSosibXqJMdc7x9NPPPtRPW5Jlz/K9
b/4gCYzoE+qr2mU6tvoWUP7D/wXMmV8Z6wPxE43cCG+Sd/8XfjINaIrL/YAuYMTef+P/ArTxw9sR
CUaqxYgtsIIdFiTvJ724b6e0ZOA039R9qKxqt/edsH3odYSSVBe9T+apekhGLb/R+6K474aw3Smq
NuyGJdRwkMwMkKpQ+k6MCwKMCqWBpLBw0ldjsSF0Mlc+xs344g0TvHEhy+GafL71oogcclE6a28I
qwcTVbVVB2fVM7sdk7i6QR/EMT2V0R3eaCyWJHqCiP4sv9O0DwXT9F2eG8M2hTFJNm3PZZ6j49Bu
ZjPVfXtkOJrDRFvTYvSsqPaEl8z9WC568gGDTHWOdVFu+gX6M92k8xonrH6TaOBGZ7X3dg3W8Jto
0rH1Fl6xm2rHAyxheLu6RIOIIudT1WFxMWsgWJJ6NDSgyzzlabI0MpDA4zzq19dWDIpzMDFCRWqg
R+Mha5XjWLk0v2lnChw4TPeVLJSA5Fxm8bM1mp9nGzkBO/9j1GSPrVXmQR1HdFVGyX0POwJCg0J8
odTAWkbRLltwfyl28WpEHFkJ6R7sFotyv5QYoq2UBirFijZxiHeitBaaV3Fpe3Z9z853MXPx4i7J
zgghUpi18XsoulvGY+OJonM6RHvGW83kXjBr5VS4LRer4lfaY4ZvxHSbFcaLbrSPNLN/UULMRdSU
HbJ8vrEnZtROjS6kRVwpId3subRYa+Tazp8iDxya26/1wtzZzP1IUbtB5Rh0kmrxUx0tV2iFx7TB
naXMi0IjKRZ13h8w/1yQXjeGUFPjRcXRKPaOBFo6cXRUQnNhLoHm7ucM+jjAWa9KR6nC4HJVUQTh
DvK2IaV5Z3XMqVcArO1YXP44JJ9Ig0GpGGGohKoWM7dg5i6sjLpgjcm2suh3rUUZwui2YF6j7Euj
1ybX10TgRaIUvko9QrIZo4xs4YecdOFeER1CIRas9cQDvlZ5pxpRfZeXGGnGxNzPrifPQIX6UMZh
hz2Y2DFkrlVLE92KOstCejqYtavYmkX4KoS+o7DegnBoPbR9+KyXJeDyjFGK4104Ouf7iTHQqpgG
dYWreK+AM7lxOBGuZrftycUk9mZuSfhmFYW3vXWi0bfGASC8tYo5pM2H5ICOfmzMHCtNlfBb6hHd
jU+dFt4oU7SZFtC7JnmWvmFwsPYKsvVkqVeR4P7W5C9xbm3cCl8Y0Hi/rp2ZH2zxXMfdYXa4RGYK
DJg80bSbeCJEHw5KfEctcXQoTa6jIH4vYwNSLPXsQBeUsjGA5X0+ApIP6/kqNMitoqmzA9uluxp0
PdypIEACt6vMrYgwKahK0xEIKY9RrDqBiAbj0NnRcmhSaqTMqlGDqqmvNumEzZKJg6JGn2qlMG71
FFQRq1+2VxLTg/FYHxRDklCiMMAw99Q4afS1Kwsfx+tgXp00fV3SpcfF4Bl9u3rbNv6LdGqoSn+/
fx5f21/MW+Vr3vdPJgi2ZhPlBFfqvJFP/xgu0BwLkQMYOEZo27Adtq53/7QFWVyKZ0wlZBeC1M/e
908TsjhbsUra09becqD/QqdzpEb252mO7dPjHA/KzNXZwjXktB+PV45WR6wbS39xQArS8JG0xF1i
PfedxvS2zuh+7uis3DQSU6mBfjaVQ9G5A349J9HTp0TH13cTh9XQ7Bmw1RS3D+mkBoRhBof+mbad
bsupvtT0bD9gxCFPEBuLQ6Jh6a4u9IdnI7eWqyghKNdqqJP75N4CArms8oSKzwXoI9m3yG8sBPO9
GSoF2Ratd/LuqYiJjdARRHACT48x2F3SbfRyTrRDUVAfdB8tIqOIDRI5sgIsBqpxIsaxDuaheext
n3KilM5U0QRTE2rbMbO1YJqbZatSE/RxGeOBknZP2EtgdIOIfKF7yxzkA66ic+3IrGtp1gomyHqx
z4Po4sqv9YraSdtuZX9TjcuIefZWq+Osv8+MnBZQ6Or5zazbsb5tHP6/iOiWWSbTS1c16Za0Xc1x
5exxPBtq8N8j+k1OJ6f894/ovqhf2+Rz/gs5ndf98ZiimUvUAuGjN+sDV80/ZoD2bxpUH4f77huc
j1e9P6Zo8EzlGB5C20Not797THUee5j7DJQ46GKC/FcxB2ITPz2nhPZZJ0hdc/GWyvpPV2Enbtpy
Vhpxng2s9xsto3uANyEMnK/qspQWaiINUQhYBjbphSbbLJvYgeaUS7ptZnehjnnJJdu0a7XREYBw
9S8ccLp15YWfAe7cZ2FW3IoM6Eqz2PrGsLQISVftzpVtf41rGkKzQi+48AHLxZMKl70DtNbbk8ME
TbNOCwaivVLmPYo25l2xnm2iDGkaUQxM2wGCiXfCUJ4dyQuVPsdPsQHxU6/6JiM7CcxmDTsHizyj
q4s5ikNmJSe36qmPT/JskykeIyxcHy7ysQ3ulxK2zew5WH57lKYGGXOtUSdNtQmiT+MOsFVM5SlH
oKjtuTw48fCg2bGKnodxDYNcvY48oVza1P5C9JxUJuXRW069X5c0fcYFR1bNHLViP4WA8mszFR8w
f4a4teNzBBd/P8Tpax8t+hPKLsZ4ohqb0c4b3+lyTrCM9SHPe6V3JLSnBfakKgezntWTlZT9NmEs
SdnIYJ9ax2EVjNJ7xP79FIsHpYYtWJmluVXd6urYuHhhAcE7VE0bBZZBxZJhSDTVCfMIq9tJizl9
O6KNraexjkggqEZ27EOh9VtQvIJj9dK2dnsT87sbmdsmZ6EhS1NHr4U46FM+krd25XyXAWJDDONt
7FvLCbCiy2EwMOfl0MoJcfI2LK4WF6cgZVNGeONhGsS0l3lfR83LTjr5CS0qlntzRIry/1u93lYv
k0Xj71evewlrb/+6dslXva9dWLo4RWg6XA9pNpDy0vvaxV8h1pFDMrESfwvUv69dsoGenR9XA8cJ
ZCku1u9HDOoUDZNMF7H6/4FK/8URA/jjT2uX5UhxgLOKiVjAEUOubd9JOKMOtLdRPHFjyUpeVcnL
oGNlASFuQBIiTZ3OFpkoi2CLFZb1eZpImBfW1nIpB+nahfrQWLVOc4mQPqZ4oQeyDSDIEJKFwZav
9R6hTroXCBPVV90ERUGaRjkWIrK2XVp98mhmXyuW+qVsICVy3LkWCQTzcKpyX6nlcT1ybhYX61RZ
jeoqqh0iMRXDBgZFsi4owsJZ6FcsVZhtuaj4WJ4ClWdux1SANJNBEkLLhtKlz6S0oKpnd6bmvk5Z
c1+NyakuJtguqkzUzMp8iKTzdOm9+kYd7GdAQHdew0cJtexs0kpIIzlh+bnM/XDyqFHlR2Po3I6j
8apmy8diqD94aXNM4u5ZVYwteV6+2IUJFlHwk2kJxvmTdV5q93duvhkzzIwmKX080tfE/SmfGrpe
MIfGeHM9PfySxQbEJ7faUOQQOEoDYbn+lEp6odxc1klctMFkiZcl0S+a5AxPbn0HdBUYZWo07m33
BiRWJJuYikrmEOoEroChiauBu6HwROf2RXXEluqV46B5G41ilMV1k8ByxmM5W3RSt8Ciu04Q/hy6
em0WKddh2bLiIc2sJt18BBdwHmQTCyCfYJzpZunEa+hw49LBLOiUt+Dy+Do4UQW4ml6XXja8aLLr
xaX0JWyFjW5Ixr5O62tMMYwrG2I02RUTy9YYJHoL2BQQAr3/mFIsM8iGGdtGIyHmv1maDWb7dh0b
6DiafZ2n6JFMvoe60tF4T2/NKBtsXNll43YY/bGQIUPJphsH/mpQyfabSvbgJLIQh2Kc7K0hh6qc
cHJbXzS05/TU6KiyT6enWMeZadjpZiXxO4VsFTFu05/6LAvqyEwYdnJVJrZeE8WlsQdWPnE0oNML
tQc77q7nXioO1N0S3pUqRCL1CKCAULimK7ntJ5gp4aqU2oWFiFHY+o4uZypmkDfmsusIXejW2om1
vSo1EFuqIQSO6Q9BIKlmZd9W3B8F0gmVOY8pUkqNpJKawyyX/1cWqUurR7hUkF/GyVIDin/bVSi1
GQ+RxkCsSU1msV0d7wxknCn1LljU76n6IDmE0JMTP0e8QPtxpQpUs1dS7sf8q2quupSKGPu/plI8
wuW/XYbJWetSWOqkxOShNVVSdDKINwdKnT2W6FFaKwkYKFStmj6XUrKCQEgmWcpYDFHO6OcfU/Qt
DZ3L9QrgSLMV2ChgoZTCBlnqJsWxFJUM69JW2kCrFtQAyHfi4ihq/UL4OZMi2yjltu5NeNN44zVY
z2/0rHIVLjFL8vt/2+K3Qz234b/fFvel+IVuLU0w75uiZv1mo0vDRUKlMpCo/9wUNfY3TwUVQ3/I
/67k75uiwy2Aui7HdgymDRiQ/9wUuZJzE3+vJf7XPuefN0Ucg1CZ+BrYLw127p/GKEac17zXnP5S
ZHa8qeR1d64KXARXEH0LUZHEi8PFDsx4VGMi8GM2BZbWc0PmKRfltDZFYuRHzHSNuAFFglVr5bLy
t8A4ZruBfm/lsbEFh0lCmmq9PKGTRwnTUfeV0KvK56W1B/PWGQavLX0H5j9VmpY1dajJSpN2n50F
WvQC6gDENBGSuR3R/WhhaLdpV3vnuFHjfURRyqqZJvNDg4CWufAEmqGiAsXMUkwlzTQeKWwVG8LG
5cXJs+GOGqTpRS0tq96PaRy9YB+bN3mnFqfEzipMDFV4SRXL3ED/iAnFaljX3MkQV83Rwz2xpumc
lc500YAd+C3B2moiMk1gRm8/g+Tv1nnP/rmOSWXtYyvtH/SpIX8Tl9YXd8m97RjnE94PYKKAGra5
Yhp37qJSTCqTx/mgziYbF+5lq++Js9qquLSAcTYZ+FSq/zRiIF0HEQbjDVVqy9jvmlAFR6DV0EM9
L9afjaVebuNlSQFf64P+krG3HIemi/YCq/Enw+oM4L466biakfXiFsPNMGRf+JGW+8aztXutS9R8
nUKNPSNaeiuLHuiLoPHLj4SVXKyk67YeHRhBunjuZWmYERdNiTAu3raoSHwhdpOfWLC7j0NRDVCT
0xL2UKKfDUPLiQLHiMu0DWKomRv7ihVE2XAlYGFOjNonCVMdGXqMx67LDmTSFmiSirtpOFl8ncw4
37l1ER3mCs1xZaWOck5CW8WI2kFJrQTJ3L7nZtMIt9zWEWldE/TOim2e2d2ie+EhbxX7I4aWR9BD
+klX3PqGLz/cKBkM0K7SCe21rXojlhgiJvVa+yghh1UBtMFoUYu7mKOBP3ZTE4hkmJmpLOGme9OI
/ltZv62sLGp/v7IekzLq/nrf0HjRH0srFYaOaSFd0p36F0nT0KAZM6+3v91E3ldW+zdgOK7rsIi6
/8PXvV835MrK0upwRbAchJZ/lSBxuAj9pGgiyYCrwHwNOBlS14+3DS00etR9x7rEi2K0HwAjUN+3
LkWh+VSaMqJzCT4k1JVkxqcafyBBjym/cpSmzMjIC9KiM2bg3lFDgmCu3YEcr9rFF84I52iwOvTH
DkodVUFEDhmvLtm1Av1ACegdZ6vnedIZbxjGRdhl45slvAjmD2T3m/ilcsgU6JIqwZUthmuvrGeA
Exj5snWhZ8KfgFHEWviJxQA8BWXmJG/zN2xFBh18XUiWxWi1JNlBrDuzva4G0ZdnUxF0mUBeSswk
BFmUT7DpwSCH5Vi/6FDYI2p21r1dhGutLjfdjD+tKtJdkyo7vLs9ZuTyRTXalAUxNHxykh+SSPmi
n+tSnCsTbpPh8OPJF473efigNe61qNTAE+M2Xa5ab3+Yxu7RdgGvk5H2zv89iN8eRK7cf/8gnj53
3euvhgu86rsnUWYPbOIBXK5/DHOBD5d/zEicG/73wwVMwLSCSqiLik0YkxyC5vuj6P3mqBS/cfHn
L13OJv9mOC+DDj89ixaig2lZ4F1NlfDCT+aNcfBkO7c93Qje2U4Qj2GKy80hjxmJJCYoGh77hUNz
INJxzD7SLkRKiZlI0u/rJZGQfHvJTh1mqiVIZ72HLjnVZcVgvYSR+WVGfUQ8rClopGSxTQiDzu1u
fiNMem+0SRrKcb/2bxTKkL4B5uDf8JQchdDvGzvSF4h1byDLpcJAs3KGaNaCQo/aJTAdjZCWjNay
LWbadlCZLW/bMTKtD7kGoG4DlIoeDq1mqIbksKuVUexmQwzp18lw502UcrgIoijFjiPjIruY2P5B
Cd38JSHfRWc7Fr+VqMUYKDlHKUo+SU/R1rZSCwU3Jae5l9HifLMsBS45VSjxymoic2uJ+Ks9KaDN
S/crc3GTuygVyw73wy2AYlJZ40C206mmYxyR3HY5uEFuKajl6ElcsQfzwDtOtkI8yYCooPKtWlVR
WeDQfakHU3eMYYkdhIQ2NVeeGpYqOtStkt+agjxCPmve1q3L18xZrK2R07lGwsvcdlWfBCrlBNyF
aFgwrSG/zVScq5SPodSPdEg3zRS4CvC6yDVeY6KmO1Y03hay+qyITNA4VUSdmK281Bk4RXvJh7Xm
Ve42pqDOmUJK8OCNwpVKR0byLTiunNHttuKaTdG7mvq6Eqdc/EEzRLTDHjIEiYTOKZ85vslxahJX
zwut7eRVRdBJVl8li8eM1nRX0xCS4l1avkzX+JSXmc7CTcdc2yIchROEiAro9KqvyToPeO+20IGa
K2ZZ5NhoAmqTEMNZhNZg9EZ5ofRCzzeAUOego6WCC+pcB7PmDITOYXqFc5nttJw4MDOqYvffsvlt
2UQ//KdlM3v9xfGF17wvmrr+m0GYgLuDC1BXhYn7p1xq/EaQi3MI5QX/63V6P7/QaU9eQnV4k9Ct
9Cayvi+a7m+2XC8dsKQcOCQH61/IpcZfy5vk0cnjzwFj47z6GVbNkIPZX1NaN9mY4w6Jiia8n+es
bHa2nmTbiZp0OAJQBumC9dE48r3Z4jO3BsXaZSHW+ELo+PEmlZFJmlPVM9NPuDKlUcTAMeJK68gk
TSRZVB4UaStxpMFkztWNXcBdxHu68Rb31eL5ItAPDSt8c6jYeFVKmlhZbjbKWzWrLGntaWvVR2pb
c1ng2skq1wkgQk6364I/etKju0aWvqqy/pVyPzRWGmH7Rbt4nfcKHIuOZ/eGSqg9W9k9fCUa2LtP
iqyWLUNcHTHtCrJ0lg7lTzmtkC5ttIVufYgSd14hbcfcNY2aW1P0xK1lb7h1kKrhk0G37SBLbsVI
B0vWU3wLMYsFjS5crv7jum1hKTj05DayMDdrdXKu+aXBSgYsIjo3dOu2dOziRfra84MG3kJxVTVh
5gjrQyGLeUnM7UgN0kdEkEtW93oL1TMZ8AOnptbXcMRhoefXbeOrkMW/cZ/uB1kF3MhSYE9wenQl
Y0cWBqeo19xUnzLm4NzHiH8Z7bKJBLWVUR1/oVumXQtZQVxqYgvI9ZAzDNsWtBSXsq54ksXFiLOI
i7HJSvZ1kNXGdkbJMVMeJmeW7eNO+KrIImQiOzeNhB4vsiR5dJoHV9YmK/QnA1+95pQTeKNMExJa
S3uqlq2ozFazrF8W5XJw6WN2uMUGqaxoxhr9hOB+ADL2PKvLtcEBPbba01SH0oQVf6V/A8bTlAFF
7NJL4Yhd1lEJ3ZqyHJqWaOxEMGs0Cym2jjYpTdKCJNoKxWTj0DEtGGFgrmklijOxu5cRr+gJnQIR
sJAJ2p5cUO4jUJtbvn+AW0KGbanQIXg7kiDHkec6oLcKVgOfNCdu/ybkxZn8iS+EfdnigK6XfbLx
FOgrqzBDFeb0He/EqN4sPAxXcnbONlNcOIpSKOaEfzCM1MBP5a2MhtcsSa3cpBGzAmdWq4AuLELL
VmMw4dAEgWAjmfdEHyz27io5uO5MRnG0pgBOTI8ZC5SWOo6bCZiMq0Y38H9wbuva2aBHC0eVdyUT
H/ldnl4au07Ysh+Re8R9qynZU0nn7UpvYCwajNy0sK0Dt+cN2dpGBpIjWo0m6Ne5rCmbkmcAl2jY
ttBpInRKKiS0aRgvcKvod6hgGCvinOlAkzxCGwOzztWQk2bQk+6lHZStBkptNXLiQT81SFu5B8U1
rIMW5a5f1SmF0qSLnnWcIytAdlMwRKO9MuX9oowdcDpFW2+UOofEhjnvS6Ppn9KiCDcezZHBhFi8
LRdaMrIsJ5ZYgLLsKOXFldFUK02Xv9/QLlaLGR4bYpD5NF0Snqj1RLdM6rXXeOK7xhC20aLqqAlj
mxQI7pUHZiNdWqQPz13PscOA3B34DS1gnpBBIACKTVEW19hKTEDMsLXgkR3daIhWU61uEyt7Usd2
Oyjd/ZKNIw0F4FxjSilKxjXd0AIXGLCaQjDahnW9s4fua2SEsW+xefi1kvPAErbQz+5cPBRdmp+8
eLwt+Yky5QUUWlTgjiMmE0hVj9wYKV+pj0Povs6VrhFhKQ59NiFyaPPWsc37/04I304IiKn/cEKo
uv/zf8voNX/9lc7BS98PCtK6xQmB/RTq/l8kZA9hGWMzAUzyjd9Zt8zfyD6SjsC1zhYuTwN/3K70
N1cXFy8L5CHB8H+VC5dT0++dWzDQVdzPSNiYnuHmyb//bqqaug7PTemll6EIFsuB+7w1m8fvfjC3
3z7a9z0gJDd+8VnwnBAwtUz8L9ZPMnVDFyoGLSu99FWa5H7lqvQxe6Ao1iGl00FqdC2qn67RJ+WW
MJ3idJ0v4XFkH71T6/iaJ/CIrTg5TarKIUBTrLXmDqSztERdq1G8n/RiP4zxORmxJw/aSV2mayf0
c7NUx7k1bjCkHdQ0Iyg0wmVI1cbbOPICQkWJkKno3+nambCvFvxlT30TGIWvCWYxwJQ24AyqTICz
h7x+dgD5CuiZ9mFSlmIbTrPj9wrtvqmnoyAPC/fKrC9x0ujmx9DwnK2TW8azXgDvVEgnbBM1i+0g
Hpo6DyqBwbmiQAkEFZTJXeQx19trBgQglkj3YotO8MzCuwNI4cbxqmfs5X5c9IbO4kbPt62yEL/W
qolYFCZXruW0a1pFL0LAjpZy4za6cubj13QoQPWVWbFKKbcuy4ZvY2LnmohLj8kpFujczA4DWq57
y+frjGdLRE531EU1Vly0jbvKaa35NtYglDSR8I5eazsH8oTRE74n83HEhcygE2qA2ZeDuXdR8GnP
0a1p2bnc2alFnjrvQ1W5UEmxvAXAMk1fr+cYWzQUzSaKBKNTa7x4w+AEPT/zE+y37nPHiXEW0IHE
TGWj1yR7Bc9ywEwGPQy++h3h0ENKV3dAEt+7Q9/Gfp6CoHSFx0ykLpg7ZKY/Vhp2xOTRLazxxK9u
9O0mWYK2R0jr8DVydJ2Tgw12PcA3vGz7PtfWpRealy4edQqXmm5rG+NuMktijLPeXSN2K+6gxZmR
I21/XbkpaBc1K2vvxkPqh3a+qxJC9ZGh3nbedN9rzviBcJv7lUQth9zMt6fZ/lolg28VnZ+Fjfag
KsMmsnuA51UWeEqxyVy2Hgo0V51d/951/WuZtK8iFR+R3SiqGg/eXGxYQLBZLVtzVs/CHX3D63c4
KU4LgdGoHV9Ua+AsqmzySeNcB7VxEF/AlHCz/RKqg+ZPdm5wzwfLnFnjk2UnL/lim4HdZd2BY0iE
g305URG/NyL9bFNvPw3ZU82vr+sNNifXCcLR3oDb3g3q8jSHXRAV8PAbtVkZcDAhX5fqPrWAq2jY
pXF63PI93llAq/05WSIOnSE8u1FNzrFpQ/AK9Wufl915avpjpM+8mYFT5s2srrKQ27NbiKPHQ6RW
DtjT1p8haLq1cTLn6lFZ+nVmOfeDHl3Lpj4xgFqPuncqhvEaexx59TqglDNBT8GiLaiMTHFkr4cW
X0PUqpdMyZ6rTHvGm35IuuxY5e4hHbTrMml+DvyvyvOzZabrJm/EcXEc1BouBC4oyyZzdgMttV7L
8SrGiyGW6eBWi9g3S1kegLH+XojQWSkxrgwRwSe3ZiPbNl69DTsymotQms0/r7y/cPxpLr7gt7A+
/jj++8f1PRZa0Qk7h+zVZHow5p4gPSkyvwCTeuoLY/KdETJlRRNsUS+vWt1016bJ1AcXJ8uqmue7
oU1P6gzswXMe1bnfNrH9tczSCJM7Pg6qAPA4CHVTLbync9mnGlodhnIXKGrDmNBx+x34uBeQusM6
SbuPOi7EgMgi5HaV/HBerjGTdPNeqzOO2WG51dJ2q8OQzykW7grnd5EX9yTXDwNoxaXLD80A56au
Tm6ne9t+EtDCRLLT59ha0za2tkOwY7GZbiMu236ndnemGLR1HdsHNfZ4rrHvkmLHjZC284c0GU38
NtxjdKHfmAltbY1t4ztMsvNYL5e4S/fZhIuIiK2f5M0+fAtjuCAsCzfaME8KrKg+5REUS6ckPpNP
x3woduxr5CtqqLCV6DZV2t5kaX5HPpGzNNZ+3y6VZG3UyEFte5sY3egXCzdf+jk/mMLE9jcnnz1Q
tQkZHu4K9drlJpdljaR4brW6YDiqPaWF8AsD8L1n7ibWIaOjO8hzTmqjjhgHld9DzV5Wtd6sOFHO
qywvtD0cDtay/pQ49iddzcltCPwm3AFEoWvrlEwDw+LoxlgszYeUJSHNqYsfJB0+VnTsHVH623OO
1rX/57cqk6CfDyI2aWOX+BVeV2qIfnyjcrqeGA4XADWHxDfSQ6sPq3/+DD+OdPiQpFg0BBFM9HKI
JO313x91DBuDq0vi6pLblO3aN8mQ7JL6jugX74R8ndjNxkuDf/6caDs/fF9//azy+/7ugDXUWV+b
hqKcVVHe481FdeF/sCt+Qv8Vq5ixzbp3rUc7NPYjbhs6IkFS5bhN1qqeVOuyXT5VinNKelNdAwvY
5N6kvbix6fiFmn6w3WLyo0wcndx8ssNsPmi5YeMtW8oqGBanDNxaaXytJsrslELsh9kxXqqSzjry
QkaQJMmXnPdq0Kh27LMCC793bXWN6H4/mPnCjTX7wBVM3xcRPAzR/87tZsem9NC17cbuJroGrXRn
qLGCYsIJJZ/KciuWQV03UF39drIQWZP5To9LHLMJri4DGg6MwSNv+q9NN+k4eBKKCmnlm8yHeSFX
r2YHq6+4+UuIVhJSWZz2lHLaA/mfJT0icfilCHXfyFVS8mHGKqs+jqrgH6fF2Y3nbdlOwRguvIPV
IOujAtdV7Vdp4a7qJXX9Ng/PNbBlkFzEjuD8uNF8TxCAA1ytPAw9uR7DoJd5cfqtUoM414bqsx01
pPOKa0M+gTl0v+q0w2jBYxwtY+dwS/ZrQnmliHdzCA54bIdLbbNHAjDfo/y+uo06rEO6ZBrL3Ea1
eXKm/1Wi/W3M9Y2I8udx/q/vNnkQ/+7dNgFyGXV4buf0VN5GF2XTHJuPFGPuqQM9uWw96y/6tOK2
fS6fp2+gnb/95Ix1vn+E3z85U0kGujppE/kAfvfJCSi4ZQbf7Fz7GOFO+rreEIzUjsqjs8EK9eFG
WZ8ex4AaxPEz/5FfxEldHZJNeDFoiPv/fDU/Xmy+fTEGBYgWdnuuUdZPkRShTog1WhpfYvUWZt8q
UR/b8Zs4/rff8Y9r1l8/Bxrw99/w0hbEuOI8ZnN9jVqqRa//vHr88nsADMa4m0kbQ7AfP34x2wtq
UsPmrdw2Hs+DxZnz2wr1X+TKYH3/++u7hLqtOCv3vzCAyVe+395JV8leCJwIOmavtynnd65o26Qr
7Dt027vMb//muS45i7dmCradPy/vpEAIePBHtkYKQ846/43K78hd8c/nXQavdMooeXtT56fp1s+7
JoEicpmZq1wcq+DOjPeUWduqzG1KDrAmbjKUUgXO+TqNiythD+TMBGPzxLVzEhRD5GkPMRIEck3i
as0wowJ5I0goNNhj8Ai9TAVlF+n8XKvNWQzGfnFsFysyxiGTSVRYGx8ir90WWpH6UZ/fzRQmrNEs
v9hagihsd1zw1aunKhBo3dACPd1yiHS+zriLNulUI8IjdDMfBR1P2fqgOAvtx80nc+CSkWi1X0hM
cBrVZDIwGJVNNhBmbbeThAqboYGzeygOuBggDlsSPrxM9B34MIye6zc2cfrGKWbOKKHFVddXD0OT
qjXLkmZGvocUWVWTt6k1slZjJwC4k79eN8IIRqucuDGnt0MqKC4t6S+uXBh0avp77zivIUipFas5
7Vn9JR8/6JBaqOsiBzF5A5NTUd07s5attEJ/TnMAdbPX6gHKwbjuqvFoh113aNTypdHjtKXOKsYK
QWkVc1O7MPVrk9FxjeBp+ZPIHtQYOdUZxKqbM9WfVfNTSXUcY97qpqZv6ASsWawVxwtKB2RbVO/L
vLp0GtUTrTwwOIfZCj/hZpS8FEPsKzvdDKWp7gGgo0PyfaNlEoAJ7QpUcw6ziq/n0Y2gyoyJw0yW
H9/K1SDBhJNR3ISu+pDjc98UNawVwFpHs0j6bNVPTfIx66jzCtrctu1Am9zzoour2i0Zo1gYPals
6Gpr9T6iFiokjUSwxLhpIm+jzPqu6ewrZrB9KM8d40DB/dL5Yx899G5xA35oq8+6ZJYCNuK43U31
Kk5JvWP1fsTf9oDFbTsRcC+UhWxJ2+3mIXogrH5qp+SetfoTaK0d/CSoxXlcr+0G1XRJuPhiL96o
GlDt2REnu6xUuuo4hA1D+ppCwxpbvjaFGEDAAZiNVA9X8+JsOSI/620RgH0JVz3e8iUK7wqrqffC
6kEmKuZ9MkwvpdIFRffQDpq29hrvGsWpX3cj/GUSMbb2UfXSyU+rdEsSapeIlCy8YZy5ej4XQ5RA
A7I3BGmYNzW1z3AjWWsKBxbi55+9kLYtlfPfYi8XUNs3seo+6vp0rDoFws8MSNx64Y5BEWWY3i9R
LOvHHpt2OsWW9jFvVC1QdbFpuM2tk0y5hKq3TYvyMoAmlAfTlzEEdmhMMKgjwTBlzI95zj/TPIBD
Q0+TW7FH4z6NfXnkXy7BPBvG4f+xdx7bbSPr2r6Vf505vKqQMTgTZoqkqBw8wZIsGTlnXP3/lN3d
W/b29l59xj3sIJEUAVTV94bHKSwszC5o7I2MgFazhuXZTUjpr86uO3iOI32dWzFV4Jb4OmvNDpr1
M+ORzeD1mAR5C4b7uXXzE7AXjdNTuzJkt2xbY1cH5dPk4ELXyWTAcWBHo3c3rqxSWrHYS9W18RR1
9X5gmphqPVX5rgm4Itg7jnGt5160nOb+ZPVDuBytfOvntbvnsI6dgrY0N3mM9eSIVf3eyTmXUZF7
04ZqQJWewrw6YD+gysykpYzvAgvCFzPjVhM1I0f9PKZZtw8mSXtN1O9SnV2Xp99wkVwUHbGwsG7P
jS82jMh6rqr+KQMsP0OE3/SNYMA6HDSPbZIhmKwN2p4D4E7UysGIa2wedkPPUAEHC2ytbZvO122f
UEeVVcgRNYX3XLIuQYusSe99kX8GfHM2K2vfsuVsTKq3CpuJYvjQN9Gtxb6dCW26sGx/01vhnmju
ayLKvcyYBs2ovtQIHTGDXVASwR0mh1MIboBT8ecxNW496h84J7MdJk++jG2xNftok5flmbbyQ+S4
X78tyf/sTRTy8z/vTU4vb+/1yy/sB/zUn/sSGKdsbolzflv1kfo/2A/YsphAdmlnNLAA2/ynP/cl
zieKZtmakDd1sTd+9GzZnwB1s5PgBwzqVv6e/cC01db3h42Ji2GeRkXA3/QVuepNfNwa040yNXor
g7PvZYzaoU60DaHEFBCF0aaPZULLyth6qxlUhaOYFXkWMFbodgKYhamoFoNncWobyJY66WEkYLqY
vZjewB5vF1AMdZakZYSuLjdLeYiqMufI89ZEQr7IrqTx2u0u2w6qr+yfbbAbEvyGpTgcURB+tj0y
Www2HxgziF3OZCnIBn/p+Fa/4m0Xmw60RxFpmH+k/gwoKV9Viv8BhwC3kGabG2hhX8HFv5M8p3kf
08DaLWLip6BEiiS8hqvyMoMY0VR9uKeoI4XFtDmha8JSRJKO5n8K6IiTNE7xSkDlSwi+JMMUS+CF
j9gptklTyisN2EmcBqcC+EmsKCgxz02m+foVoZYrkRvjIorSdjkoekrK5GNrm2XPXmb4AsYDJ7tk
N5KELgai0MIHKuK7HiQLHlDSPIKcbWOkzpHWw9sGgEuWyesmH+pNnAJF0oC8hMBewnY8lAU8JGcI
KcgECBPIMmZ6jBCKX7NYFJ0F1iFqXNUSMd9DEMt3tL90FOY5Md4DmDMEbuMNNME3zG3TRdCHEsSE
QJBWtBpjcDVSScbRrmjfMN0SPdT3rydFuQnpQ9xMASd9L83oNFM0nFxxcQpb2xaqLy9yGLBVnycS
9NsmMJSXL2RwHjhwGgDtUIxNrQAYHNg7PgSfal47DlweZnZfWi8EBKSYPZj4s3WqOD4jQJ/UGfZ2
UJenKCnBPijqD+mDTaw4QAIgUOTLdt0rRpCuVzcMpcOVg39lRQaRC7LDNyzYde9qHpbLoJu/dLUw
IIt09LgoGlGsuEQ0uji7KIZVNE/uCYeDt3JH+70uoULWnrzMh1b1LXMpM28eV0Efwc4J0MzYANzm
oJF6xUiKmO8uGtdJd20zUkUYDLeaYir5TKQdRVkaMizImHQwLigGUwWMiWVipKooNXe0qz97sf7K
JHbrKIKTPjYnLdPoNdFcugbBPM1h9QqUdeLLdyrAq41nX2NWac0LOaP3MTy0mKaPNcuCMQC7Ch/H
gHteT9wCYacTuIzGzWS0xpUzZM9DXjZgRiIMkQ3cTvIADyNaAFNb1PAx0ohpQEApCjYOSVI8ukU3
bIcUs3RUYMio8RvJMLCpdMY6V0ERhx6Z382Ff67t8tiNXrPqivxr1Fa3uhHuc9099C7J6jY+UBC9
1Rnqh1p4EjEGmmLCkmemSFVZbd7A7O5Xkt+7qUZ5cA0UKQbVe4ox9TW64PPgBbtmMA/YG7/arbNp
EmpNC6h1hZ9NF4U2vehqAFVJKFvV2A60ZPb2RTS3G3cMRuh9sdO2j3lQ9cVmDEtzpk20Lm6NoWse
GLMPqCY6rA5bNH29MzhXfA6SwrpomzINriDLBu6e+Kv52Q/Yf55iCw9X5iXtioLrR4lqsrZGnUvD
D9K1z/WyMwtIIkOMQ2HgultbJYIEV+FzZ3a7mRD+AglzF1IKRO4b58BAPHVBhdW1O8/E97p2SQnb
vMQ3dpXaASNAyg3WWRnxeEpSHVNG/DWonevaxqFFo/NmorZjR1VtunRK5wb9Ca2jf6gs0CbcxVvX
pwrD66gFEPOVZ0aHLpmsZVmKFznyHC/ygfRRdiMHmbLV85tdlRJbzBv/PCVCX06kFgmbx4AQ8bom
+1zhbWjLfnGKPlwbekf8EwZOlMSvOkwcDqyvI9v5vJrKxQw1h3oh7kMF0nEg6ojxmKNpZsnOxfWT
z1smwVutd8+BgvH0UHls6DyU3zHsB9fjwO2RDJPI8RIhSRXUx8kGgMNgfkIF/KkV+ic3gAABUcsW
sR5RFEKZyAQpyOiFXGYDZ2Xdrm6i2MI7XDtHv6yuCgUaIvaEEo7dqQr1SzPkJG4FILjqmhpZOEWJ
XVwVcIs0iDHLQtiPsdt/iQfQRsOYHgYFO2JefPCps7UqF0dpdJ4ssEg6fKRSgZK6uNxEnoDU5IKD
o9YJ3lKwtLVCLjpsfDlpnSXHToCpbKKRzRwvMTDKmO92T1PQoFBNhtseYgVvwq9m8z+Omxquk6kA
T10UYn2C+cQhkOczRrmkB5GnRbfwMF6qztnreFoTaAs98KjE4KsWYCRqxZVyAExlMniPPW9nAZ4q
NP6rD4qq7YHSgKbK9HD7z37yu1WFUevv9pNUJ/9iO8kP/bmd/OZmJY2DAINVBTfch+0kbladgKFt
UQypgjr/2k5SwqcLPK4Eyr0/PLB/ulmdT6p4yMS9gtpC35/8O3MurKk/bycJ/JBRMIkB8C74hT9u
J118MIDcxHw2svChMtjvpMgonKErtI0527iVvZVcRNakIaB4D/SgYofrKNvNPPsudqFLF+0+i+M1
na5+s3IcoJzrCOX3Pi080pC6uA60vN63PAihCKax9qpjnMKRL40+PDh+T5+fpU76durEu6ZlzcsI
Ll8LTHEgpOzbIVE6AlxMzyIqOebGqgwZe1RjcTdN2gMlrvcGW6KF0Hkmi5r9hTaB9nYvJCXYgBa/
1LNB7yxDp4CjZxnrVzwWHvS+yVdhy53lt0qRrGnx9vOvU01cMNTlxjcx9TGFMNjbjue2li9VymbB
6o1uRX/IWzVk86oVyOve6K4D0QJqK0LJYNB2yO5p5rQfxkJbYh88yM45Gwl3tQwPM1MwKp0c7I8h
+j3J/7ovH0PhPWumQy94alwnRP1bK3tIIqJ5dTzf06K46TtZXkp/YK0ovupCIoNEN16ndqRQ4Msg
46g5MSTqDlrRfxU1W1KGgySvDaNjGIM3TtM43RppwjRIo0U6tJfM0vSVz2AOZmHonnWSDvjiK6Sy
dqCpuBiWrULcFDGGkIx0w9pNknmZj4C3qav6Ek60rBk4Xls/JhA+4upwdZ5Yxq7r6rOfUoxioHuR
Ra2rkgSG3WXb1qJNe0Fef0/J2bJprFM7MiozCl1fhnm/MYX/mlCaS9kfdFUi63E+vgQ2dRD8zmWR
ehgFVMt3iHcxNLQXUQfxsu4hoUo66ySeZUpy3BOWMBL/Asaq3oX2MR0MygXy+jZssJ3oLYdqSWUi
FTpevJprBmL9ONM2nZosQ87KZbe+RUduNynXP2Mbl4equacI7gHz2E50+sPQt3IZhI1YtY0u0Vn0
+Ej0he0dIdF1aFG06vcAYvMRJiAd7v52klJclqOhX9Orzv406beeWaLNBRdZQt/BWOkvSC4Wbtcp
OjuGDv+WoO3kZpuubQYMHlG6tIb8dWqKjd5HT0VAd4BHk3QQ8n3G6ZSeTZMS8TH7/nT/j2rMT2oJ
/aImTxsG65Sgqd6zn46cpTHCLWKQck6z+8R8sxid/jeR+hcv4Xmck4kh8SRkvv/jY2gqg7EBiGGe
k+a1S66m8i73jv+sUd/WKJ0/1m/WqPf6y/vbvy9S6qf+WqSAS9ByB56beszvYbQPWoxuuoTukUCk
/RFWYWC/RBph2EE/DRiJjyV4zDy4ZBxSEgb8BwXf+RtiDIOSnxcpl7yqjgWcq0/H8/mT5Gho+kBV
fJKcpTDb+gIucimWUZ+ZGueYxOGZaNeQFREgKoLoyarDtIiGuBv3ewa021wddpHDYxCNoWI1lkAb
6bSuD2KEI/Xkq/2v3eKin5jhLQGYsTmGhGuRC9uVuoWFgS00WOrzqKX9wnP0F9+hgoNc1KFk253b
I1I8G3HgsVuavudN544PDCnebLbspVHwC8id74LR4jHuFjuz8a5pTv7aFygX1KlQBKtOASUdIvc+
BwNi70CPxYThapRnl8PDkBFYt9V5IlAni7F2d72NxpIlw8639Wfaq0Y4olSG9upkUhRVv+bpEe9K
I8O+hw8R0K3PQaMKn7qkale5BQE6oFUMuKGQGwPrFCdog1TbYLfhjudkIBYVxkfmkvjO8fBp6S4M
RblOzJjaHinTAymY4MZpnfHR7uklLBweeoRXrXPEMGwZyEheTpMJAMPUr8K8oNiroWbfrtD+aflv
NmGRyZBQHS+txy4t7FW7y3WD/X1YY6Xp5bhgcfCbi1jW+bXftcbBLWto2Rk9JQHvIa+iC9PRbLn3
UEeSjQ6/m6L7RL7KyjBXXactnCqOT2HfUfNKR1qrVBk8+ap5fSOs7NrEmz4sRyCWC6NO3pmTPVZN
ciwEAxQYxNuU89GSqsdT7WknBBgupAxBrESQC/OLUq+fdS05xgMe0ErP7ijKHdawmL+YHEP0wLnM
s5ETX9g6CVOliQE92RaDnIUVxvOJ9Ge+EBRHJCX5X8Ps/X0yhfsuA/MKcyHHmqq762wOvszjQFxY
FAWTLT/bFFj1cXrksOhr6wvg+3ph4e0AJNo2KyMc152k4Cab7kFQjCumztaKDUBM2RA5A9JCl/TC
ARgWFkfMIIs4OgSMCPg/CXIsQumtnamEgSnUXNGC2OfOZg+DIepXYhQoojRIJjXzmKnExigoDrKj
kS5mi/NrpBQ5gTRnK43OR6wbVLzaU/qdnzfOoiI96Sl1j4C4x4zOec/84A31Kl1ydy1bpQnGShxU
KuHU62updMNOKYiF0hJzpSq6XPpC6Yy5qFsCUMhCKINBMTMdiJ0iuciVIPnP+vF9/WAx/s36UeQ0
nL1Pv1hB+LkPKwhnC88hJUvCh7KiD8cc+Qk3PTWMCJN/xJn/nJqj5iPaMzmHoPZRy//WOODhz8Ac
wARet/7O8kEA8Oflg/OxqoYE0UawEMfBj5uLrKS2ZALOdpkZc7+hx9RcFcJ5drjqC6d75Eh/n8zX
/oQMWsm1Tny+a4N7tFLquVSyviRiXxG1t48xsXtjSO4zlcOXKpE/Ec23WzI87OP2JaF9EVD+UoKu
tiTU6lAl+9mtf9ZU1l+q1D+N2MOagiWfuXHMeIhUlB/UF0DUoDgr3CrYVdqTn2etZd4Kj3WIqpcJ
QKsXGi/omk+jIrfa7XjiPA/LVVFdS/CuXcfJDLmof5yE+zliYnHICa+hFZMuEwBiYWp8FooYa4KO
9Qn2bmx33s1AZXvgsh5UoMl2bjEd0DW9rhSDlsro+w4orRtpuwFIbVNDq3V0yGoNoGtItjLGn5pO
lyOEW7NT4inIWz8K3woYuEELDLeyh0svGrAIRPreLDYxcaNwKrCv3yrXl4MEmzwj1VcL3uK2aaDg
tGB3U8Xfbb+ReGOYvL6J5mhB6e1tL1da+Tb2taOtSL5FC97Hj7r1UMQ3JX1ZDM7mjan4v+Ak6VpP
32pFBm71hmdbLba1ogZbfXeFJAoWFF1AKLJwmBvvrWINp0CHfSrgGisgOOjUr0JxiRthH0MYQgXA
4tH2PTWLPmJdPYMDucxAG9sx6WUmn8chCHHoOivHIuHcKh5yKhjm5oqRHMyqa3zoyQ4leFFTh4ZP
QmYZASUoUpMiLbcZc7zWebFKbc9Ivt10Df4B5fPQEfwH5fxwsIDYWEEm5Qkxq/gmVy6RkG9OwzZi
MRKrlI+EJgH3WGlyn7rFqcRqwkn7IcR6gkGP44Ryo8zKl1Ioh8qkvCoJppVeuVd6bCyd8rPMytlC
ydy1r7wuST/uMuV+qQPm3/Nk4+MA9aRHIMTQKPk+DgWapYk3IkHDtGQqllmYLfBI6osJnTNG7yRa
cmjRPwslhM4oosyrjwKFVFdSaYpm6qKdxjTyeGGA5oKoaqOuDqisZafdR6iuIi8uOlRYuk/3CZE8
DXU2R6W1k4o/6jwcTfRboytOnRJ0y2S8TrN+O/rAvDubueSwA7G8lyjBBBN3VRBeBCYScT0ZhxLN
eEA7FkpE7uZ65Qft06Dk5cacNxF6M2V3GQ5056JGibai8oDMvjOTqeMTIlbHqNYm6nVQOuccNbtR
srYb6LdN0TwG6N2Uvp469O8wmG5ykeK856ZP0nBjD9FjgGJuBcUusyMXt0O+tZWoHjntyVAyO1Va
bFmCPV2515kS4iFGLkOUeXKXT0JJ9a5I05WHeg/R9tjRhbDASk9z35w9sX+CZN8vS5R/Kpm1ZYcX
wEjtzzPegEFj44JXIMUzkHMgbpSHoAnodmTTMjf+U/TNZ+B88xxAH5uWlP/gRHCVKWFS9gRkHkIf
dnrwcC6YXrKnOwW4IZ4G0G5nE4+Dr8wOcRGcBmV/iJQPQhkitDq9hKS1rQrvslaWCbhVm0yZKCLc
FJHsjiPuCgMfhVRuC/UVwgN9LfFhFE3AkHqgFk57HPFpGFJeioTpsa04Sjg5dGXpiJS5w8TlUSm7
Ry2tTa4MIJVLjTyOkMnLWqiR9S7BK5Lk5bBqcI/A1LiocJOEuEqsRrvuI1sudfMOnhfe3vk1Tp3b
WdlRcmVMEThUyiw/aWqQ5Vfp2sTDIkt7Sy3WwlTmlrgl9zEow0uC80XXg/dEWWEcZYqZcMdIZZOR
ssQwg3PGURYaLopyqStbjR2IXYPPpsFvU+G7mfDf+PhwcmXIGXHm5PTn85lB0aePbRX2+9G8SpJk
FWPp0WObSoRs3FpmcR4w/UTK/eOCxdSwA7Wzu6+xB82pxAfi8aeRZ035h0KMRH2n31Jt464Fe+2V
W6v9tSRna9in5psRid0epqRO+ZOsb1YlH9OSnvvKxI+PKawgB1Szs4jcnrtzPlYR5cZ2zUdiL7qr
R6r6gty7IjrkLrK2z9ezFpEYgEy6CPp+XPTAGHuUF9PO4w0rDCR6l/B2qavdYsCZpt35IYLGCH91
UfRef0EJInXB2vQ1r5u9xV28SCbM30ZcywXbVDoV0/SxLwKdYLhdrxystRsZNo62yGIb/3EWHDls
luccwekplk5LpcdcaxzpBuu6GUhYp+7MNnpITSRyzqCSc9ucrmapHQejviBWcKW7ycYc47WjUwha
+TdBBZOu0hk3GTBMUxKuuayefBx1SycY1rUEW9Un47YzfYou2va1j+nUSNxnjHinfphYZKIVOZtN
i9OPTMNdSbiAxHj4wpP1gWagnT+EZ2GN735sHJCX2F2H9HxEBjg0jR6l2To4UXYiLWgsbSdD906I
+mYX+OLJLE0wr+zaP8fCWqVJcQP5IkKJmffA0o7WGO3oBF0ESbnPPCzOhUgoaWeaCUnr2huy25Zh
cF9MJCby/C7Hpr7MtOQABmIvhHaipmrJVgiHWbVvfY9Cd3rpnOqAdv1om8YhzaH4Gay0hkskq/zi
x3TJJMH16LNTmKxyPfvhuiYXb1XtexZ6Ry2nLo2LbiRy13npF8wXZLioZytEdFPrlLrr0dKjEnph
ZAhxo7htEq2C/EJ/LS5BVNNgTSZi4/fYFNXgsqP1to3lLuv0p941wZ/JcWMR8jc4+LK1qBbE0Cqe
7skTSBjOtRYeKQ7uXoIJuwtSkh/xA5UlW8Odr0RPWDFp5d00cKqOy8eCct+VkZH30Proza+LHmTi
0HFKNC4HS1z6gUEyv7XXUVyuTd/Zxl609yLhbYKAoGYyv5eTddmWkk88pO3R1rlYgmKwMCY4dFtS
O7D2J9s9F7KAeQEzJHXpom7FdWpqx7RlrqkFxqZpSNn7VigXNW1+u3Cyn60hnm49njRgy8fjOLrd
SqOKc6Twv9TsZ12n9a2MqieBFx+TYbdJmj5d5g2f2vXlzlOPnkpF2Asv3AU15aDMFE4l59Mk0Oaz
ptcHOhSrlW7Tn1rVGS3UI0UzU5WvTP5polBL9tVtEI3lljaY/eBQ7jC1HeE6tWpb5tMoudFiTqer
egQTU03mpUyiy2RIlmZsYrIK5+ZIk4EaehqPOlruxVD7116TPgP5NnfqdidZyIEzZzVP6t54dsP2
lk6GazmM0dEzcqq+yn1QijsdmXYuLLGIhm4biGIlsuRYBWLbOSYZcCv7yuQGa6yhrwPDvUva4iJC
/E56m30mGXBMOU+TrG68kVaAvHQuYxnQpxBvUsecKOaIH6rUezZHCg15Dh8sI84Re21Gua35DAVv
7zVSo1cwyrd5zy/WKrkp8Pmtytzsd3GaEufIS1bHwMyEcTvKWOcYUdcarJJ0MvV4mRi2ttZl5M/x
8sOJDxvcFBT5x5zxT9NZGic827NJHrDGewaj/R8PUHokxKjreXSOKVjM81MzjwvPvP39i/w45MPz
/+1FCLQyZzYkR8kfXyTxiRPD74vOYqKo/iToUtLMu3b4foz/j8NsTqIf/FN/vIzDENFU3CsMVD++
jC+ExylAsHHXvw7FvWZc/P5j/OL3O4wqhc4omz/Xz3+rBiBFUdhZes4HLrSd6+NH++v0/Yvv4le/
3zV1/kL8ochg/DQLDRyiu4ZVZWeXc4d1Zf0xJv+Pf59/y5qor+HD3+en75qUqAw1HqVnNHYtWyZy
UzsrWo3H9zRe/f6j/OKlSMmT1HFNSAykAX78KlI3IE0+F8lZxDvEHUqFS2xh5pJlGJ/M719Lve1/
2ea+fe0/fC3qEv8QoREyynDNp+m5pCmvYUe35NbimTr1m9+/0K8+1Mfv/6cPlTuxV3Tu9xcycFqQ
fAo3rCNqKS7/y7X2i/sS7iJ5B5Xsw5KIgvzxQxlWrhcsvPm5MTZ++tKPa8v/8vuP86vL7cNL/Hy5
zQ1sdPKe+Tl3X2L/2dT+D5ez0p0BcaCBo0D8+BHiKrVaU9Pzc8wT0MA7Nv0fHl6qGcpWWoQON+Mn
aSnXcvb3tizOs/MyOJcdBiXR/pdn16++dC5iBsGmco4q++fHLwKvG1WM7pydazZ+0xKDl7Sue7Bl
5Qrt+fffyC9eC6Qe/lOpiEXMn358rZCQgEErVA4zgj3JmiRjSPS4WhTssW6+vdQ/NmGlMP310F29
tC//750KoXa6fMne//d/Ll9KruLv/2b/9r//Q8+XAeyUn/lr3Kl/UtULLCCklyik5pr6SzCDLMPx
m8caPNHvho8/x53uJ4Q0HB9MSRlD2hSp/lU94n6SFv2LRPyUDif+HnXREOoh86+nHeklNVPlKYQu
5+k27/7Ha6Sumsy0yCueyxJSimSLsag9Bu+lNd3LuNr6SqIYZLXyy+5VdP7nyB6xdYzmgX78dFUl
2r3XVythTSdrBqhutfgO/bRdiCA629glJ9+9EmkglxzPdUB+YpuM3mkwrGORFVs38HZdrHOgyM2F
S0fksg5oNUN1uLUtKo9xXbxrdk7toUctdW8GJ8cmGUoZvL9wK2s96crrp4ltZkR7YdEfX+ruA7Vd
V2z8zxb6H467vPeOJCdwck1bf8RcNVnedRoHtwHbQ4g77mqy4oIii0IggZjvQxHEp3nuype85XUm
q9/OWh0sDazMSEg7Di1iQ7kkIx+qYxmGRAJ2QVBedCJI1noJr6fTqY5PwmoZwaTzYNMFRKpVnS0T
rmbbVYpfVxCQJ58wbhxBR8aQ7Oo8p74J5l3VhKtaUfBo/jgYIoWLh2nZV6Q8twaw4ydMFBVFzxvs
20px9SYXwh6TYz6FB3XPBb+XDxg/i9kj6avYfIznLm2MD4ai9jXg+5rAvYsVzy/SjJ0J4I9dCvx1
c1yCQcpWjaIA6ooHqAEGLBQhEMCPuGMW2tCOZe05w40rMyhvEPh2I1b0ZahYg8EMdbBQ/EGml2JB
wQBALOCEEceB9RzCK6x8Wi4tEIa15IDWV8SxWsU39CrpLmaQh6GFSQ77erjSUDs3/bcCvFR14YEn
z/e26scLAGwsB80FMU553ujQoteb9OmxN423bWGl1a5ugsK/dfE1X0AMegu0gkotP/Eu5jIkwpPW
+7oK7hjX1jzm9Z2pQaDg+b9uws5a92Dj3T4vDrlbn2gK/1qMeQ34e0AJ7p/KhvGQPUcPnV7hZqeE
cNn75VPfuAKc0nzs8vGYZcKEfhHjfHWxnhdUnA3WKZ9dbgntoR2kWNKovYt1Ti52ACkRobJz5caK
EHAbk14GpMpt7OjH1KZDS3jt57n0z71I7r2RKXhm+ftAr6wtc1hobbKK1nVcNJsozKktSE5hQClx
GoRr+utPeertWhbo5eBob5Ef3eOWBQ6pBbAgdPFmROUDGcaVFtCJWbu6fOlra61J7ZnWsXAxtO7J
GKt+CQYhuYbb/pnezEMjnTdnbg4cvS9naR6CaDYXDcDSsSj0U15ndAcy3yod+2CM9ZJeBbHQ9PCm
D0S3SKKJgrG7RFubk3soI1rbegLJfhjVy5wAeNQ7VMgk6bUbOdpSL+rnUmtvYgpzloyyrkKShkvb
IJg04JiP4rWm2bu5GQrqKxh1i7rxljVdQWnonSheI2STnCPqvTqTbx0S9aF36JxLsvmzZ/ftpqVx
3XZ3jNLI/WuxYndUx26Y914ZvepWSUeElJh9Bg9HQHzbptarV4fVCpYoE9PKeQg0jOIy87mJixCF
OGwR0HkWUiWYjtsmx4T+Hd/9z4qrsyH/zYr73r+8/WrN5af+WnMxqQgMJziE2MbR6vVhzZWfdNq2
bIdngbKKsBz+uebSC0pQx8U+ohOX4cf/teYS9BEAkFVsR1WE/S2RkQ7zf19yOU5aHscYlE7exY9L
LuUapWH50XSO8itjchT2hmn32Hr340wzgJgoC/H0/Ajm4MadzNepTLWlo80SLxvNuti84au23kWT
qPQbp4VRs1/pGj6lnfcwz9W9MYDQ6YJNpdmKPuE8p2VWArSx9aUcgCLq2bEYAIz2fu8tkpnpkqho
gOL4hQiXPNgYRzYGJ1P86RXym08JjW49JSmX+TS/UnqMsJZ4u6Hq7pOovao98zJizrMVHsjyZKRf
agwu/b69KIa+XExac5AuY8oR0142FnzmeRXTQFW53b5zww2nTH/BNnWTh9pjVzKSY02neO2SY99m
NmmRyh0HbnzeEFGG2QSzdVO5VBUSmF2A03orvOjcJNKmF7mabmctw8PgY/Erm+Vcjax/sRGxcJtY
7nItptLJes5mqnhABDu4GURKYDLyVtUgm5U2+qptOV65g9IWVZfQxM5kgAdLBvLWnsqCmaD1oNIP
yTKIapPBWMeiveisAr/iaKNM3sthYLTSu1ZF1VLVChqy47avUT+DmOUG6JK5glvB+BmqFPP1ddJM
W5GOu3no7XXX0LlBC+WWlHG//Nbp6lvy3nTKfpk55ntJ02sqGm/Rt/Pn2WS3ZjdcOKHf3bd5/jlK
32vfuiBcUmD2aPZT11HARgjIjvMdLlttHSYlcBGnP3kCo3qCmIVf53Ey7YusRF3MrOmlklZ1b2bN
TZCZrPA9JYrDvtPH7RjH/i6yfGOhRf4uh5W5DCrjMFGrvfC00tlPGuSqOXMftL528fBopEr1rYh6
0FCYX1x/2M+eRRi5KCmVDPKV12v0Q1XlNopCZwH0kFpFf2N01kaxLujj6R5mJvGppX8tDP5mPOCf
gOrRTJbcT074HGT11RgmERX87i7J56emzjN+fbhDQHOWpKjW+dheZB3FbHToP/UtVFJZvbRTtCY+
d/DiaCWj8tmOhnblG0hjiWDYndbpHcvFfcjBdlF2ZsNbSw4JAZ1yJsTdOs8VNqQF9L8TDbQ3ZEm3
wiAIMmnjVkzTMuu6z5Yb3OBh3jgyPxsmK2MpPO6xWT8SIiB6Y+dHyigvdSPYJPlbgueoY6K3bgZ/
W0SDiluZclVY01WE29MV9Dx51H7x2s3TTJ0QaXH9JfPJJVgiaZfknaieCaj27Kc7e2bTMBYpqeXa
ucvz4ED5yfPshqfUG68NnRZQkZA3qbw3PxO7zHO5jJyKApyMC9C/S2MQqQBXaQ82S24oecdl/OS0
NG1Jv7hsI/u68Yw3b54AmGjDVeEj+WSNNJd+oNPO5ufWIrVD5G8c0Ziqx/RqSrybJOG5wiiaFqee
YhhaXodNbnuvo9++JGl15cuahhbH8lfNIPxlNlUe2xrrULqNeTUb7hYncojFq6/i2zKXX/yJeEiQ
zPdzURyNOXiVqARd2k27zPe0dZvolyEGOgpuwmYzpUg4JHbei5KSg84JkxUIBgpo24qFnSDagoEX
piIrrZe+WR9n6RxaXV5EndyHYXtTozQtxGDs7dm8HDvtUGR8yiipVmUbCtQfzaRVLFjR9NChwJrf
p2D/LPkWU5D/vOTfEZ3gxP3v52z1Y3+t+fonLMs4uZQv2KNt5sOab3yyPyIV/1jwTbgKyqbqSE7a
hmJEfVzw+feAeThWWmwX/t4h2xG8rx8P2aYFnxG7EyYmOkUtNTr7MFIkfA/IiZP2VS5LEzaO3iF7
Tl0EG3FhTAMs5XHseT6mTvml6rPPc0FQDovoLW5wIqLO64S2vy67YFejmVQlRUz0VaWrznQuRSsB
AcY0cRYlcrFfeD35pSnc6KXdLWgruNQ0H59+H7bL2C/ODf1RmjpDW97wBvW4WIcASTp0D7L60WE0
ZyiKpHw1fIm1KKxVAeeZe4hoXuvz30CUvmkFz5a6q5Uqv5mzhLVLd1+1UW7CoZWcDoOdAxArnxOK
OJPQpy55eOYcdp+2E0VSibw1rPYpoFJl+//ZO7PeuLGtPf+VIPfb4LA5AUkuaq6SVKXRknxDSLLE
edqc+evzUD7ult3u7jSQD0iAxrlpH1sqVYlc3Gut931eDBbuljG/fQoImFozMWt4kiZqrY/Bk+NM
8OcsbjoXMDD6glMh8fKGk3EDK6JahG10NRhkFmnWq2xweqn+qcbZJoEKLhVbvME1zpTX8K+9Xaap
h5YpQTHMyo4keChq+8GLn82eDY40X2rPe1FGfVJTdG8Vw0si3WxlmNq0wvhySaPMo8jqd1mIQzJu
BDsgwRlrTKKbOjKPbSmOk1n5816GaZvBQQ03WLaP9bpaEPdFE6XJS2H1JH2hmF1YAmMHM4SzOLSD
bSxae1MFYA6qViNRfriza3EAsgUd1Glga3UxDWB2Kkfy4cmBZBFf5sZ2bPqti7RrpaI2RK2RutvE
CRW7fFIM7c5nytsa9OApf+uMBlv7/rPvOkg32ktba08apr+lEF61VTJHE2q4lNJkb9Cccx7tsWb2
E0t4Te0zAUhUGZgT4Hn7yx58CofoY8ivgn+pnmOhru3OuuwDbR/EDtIlI97KuLjLGrnzZpJ3Mtl3
TVyh+Aw+ky3xamuGWCYTOlmrtQF8wILeuO30kMfILwKDvD6nvBdtS4hh3d8JrymXfGm6nlJRrc0u
uRmFATPF4Iir68VbVrOCiIryQo7eKZEI3JpxMBZu0WNJ7fr14A7FCfcrE5xYucA+IrRS8yG2aWlG
TTU8NT42X60u/ZWpUKaaSXzfJiuch3dmo6dcgRFEVAZhUnYU9wZpMtLRfGH14CsG3fCZ26PPKPsL
SYO6yuKI/B1M8iPpaOsxrybcydkxykk95YRgo/M21XIIpr0/FE/JUJFqYWo3EnXM+JZoVYZIVV0X
Tr02xwHJVuisXXgzdDZvjBMZqTjyTU3ao1d758QeHctxvDGIZGLYI8K1PdKEjll1Hbb1UwplDivs
Hg7mQbIHXyodiifXXkxPMI8oxjejVl8C0Z71RXOVlmLWCyZMbJrVlAwXptcRJafh3ERoiza+TeZN
eAh5v2neSgFXIB16Y5UOzhNgwi+0Xlh8CkEkSTGQRtC79qGZgwtqS7iszOUDVRdx96iQMqT2S0O6
wwKcWbSiIJ+xfB62Qd22m3DqDg14oaWhgms7HJ7iiHU6CkuoHFXNXCHAV1NLwhQye1WFETr4cLhp
rIpOg41pOiDlq5KZdJJbipuu4JZw7YsUQfm6GPxjkSKxkK0/0FsFN2idT0Xp3QCb3ZkDDm8799jZ
j+k1NPBjEOjVJmjc9EGhLkNWCL5Wc4xlm843thXfY1hpFiiwkg1lVS4DI3we8sJetBI3a58fKOjX
oyy6XaVlA6zb9qqURKhEOGQ6nBbbUIsYYNUmgzG7uKXDOoS+LZdJlZ6Dvr2KLJmjfOfsi6aDsAOl
r/Mg5Wu77saygUNOeftcI89beGToLMjpDTntV4JpnHhDV8HzIlTRlnjoK/IYn22Te7tKkfrLzBXL
dKDfYFmYHzXCXRaqqB50l4ipxh05G410UCin0LOTc8Fh1NhaZa7hw9cwPTXFc+tF90XJhdT7+WYk
vQcWvTunZTJT6U3Q+c2gBRumz3ymSKP2ptmTBytRxoUStQ2jOj6l7i4ck6ueZyK6brfgg6ljEl4I
E0jFyOXmzl6NmP8PrRA5vGLqV7gLLkZhFnOaS78MNBIdRGLfWc24Vfn41SqsS6BVr4POt6tl/GDb
DIN7hcDDbvNzpu4V+vTpguc/WUFOPlMv9g0RREs5Gu06cbXiAR9fuq/njtrgxk9z816M8sR64Gtf
pRskIXc87LUz4gw4SLvevo6CkxNVt5Bidmyo+wVqQIishI4uRon9wsK2nI8Q4zuJMU3NoAvHeYkw
/60ysnKWZC/i1S7ca93PqjXZCBI53pCvyxLpfZe2/l5T45MtuBgagMjASN3bIXcIVvTFIQqCJ7j3
kCjZhw9xuS2qgq93ykts6Pqi8LSAiZ71gr5T4hOLHqUWOYu4si9JL/5cSBvu/dyBBuZbrPUONRaW
jkEq+todcjSHTkp2KzhiOquRyy/Wm4UejbQzk/5o1yCjZUJCWskvVgmqdjiS8hs7Y4/TOX4iKu0i
iRAoNpEPuLcroapyyMajA6hStsvWROHUaskuDmBoRC6+PmayWDeN2XQNG3Rte+5XRppAE9xAbTqS
VUg+6zr02eOySKa5qtr38GD1BWoYa5lV4jZU/Z3yvGKRR6QB9Ol5W+ukorQk5AYk0K4MGd409Dxr
9hUEerTksmnenczbyyDFhGDWzeyhFC04Wu4nkznhEBAEYCT5XnBy4oaMtWVvIJPFiTMYPM/5tHiE
kMdmM50m0fG1p2UXpf1ma+JWoPrBa4EIOfGSNweQ6MpIjZduVGceT3LkRtZL3TmoDVtoZIHOwB/V
iTd1cjnYyX2QZWhiBmUs3ZacEbjUgf+M4uWcgwETCilIV2jjQ2kpSLttHB9Bl+7he/F3bvIYCAvA
Yx/f6srNaWfFtYMtF4xTsZdefz9w5iJPcqKvLYt8XUHoXY5WG2Abqng7EpWd2ytIC4WkjywuXXeE
Ze5U2Gj7/o2hOw039o11kJgbrWsfym7OAVE6ISSoxbkWLkw7ambolFq0SXljR/yOLJaWHC8H6rTK
LwapcmzttLBu8wJWt16iabmvhveAEO1uYgsyjOmtIZnv9DUl1dGeuw57L/B8k1QXpwcM3Z6XxITl
2uAyR6thxpUaI2E7fvU4G4edzWJryF+nTB1A/YJPUdMeucpDFOP4ceK7smP8UXPKcxJKX1hxZYZe
TyRVGvFDts5WG9QbsZsVNXh4NDPOfF3MaiuNH1on3/u+vwqT/Ml3k+e4aTFZVuRpNvoqyAZUZEwl
UpOo48rBE6SvBwvUvV8VN0MNMV+y1bZIFtbiywb62xjp42I0w3Xos7lV3bkaij2Tw2VqIRw71LE+
gmt3jOQqzSf7YSwi2z1WAhLhFXvysoNmb4OhL8U3IcG/Peg8Jf7zHvSkngia+GMLOn/V9xaUlAkJ
IJTRM6xQ/d0A+X3VS1Axg0jSFwzbZfNvfzDwm5/wrtiWa5l0m+/Qp99WveYn8v7mzD++7YwE+Edx
mrhXfupCWRmzNMZ1o3mGBDA1d6kfutDKxhfck4aJQ02H2DGlCak/sEvOBKfPs9ypOeEJbWy/yDg8
RP74SDGdlqUTv5gdJGrRs17d2YRwduvK1OK9VlZkoMUR6xLDDovPUO6hduueVnOaYMSzIL7ONhgc
mupJgiV/JZHWJ/0ntxiKkqKGPRyjHzO6DX1cXK2bFJr4MlUS/ouKPfswzkEPHluc+j37IYlKciDi
ORJiIEBOAAxmrsQ9ZEU+6msSJHyXm8aeQyWEycoxnYMm6pFcuZDsiRS5ckkWRW1pLHf7K92czkOy
KnxTnMsi3etkWAxI4paWrdIFIl1rWdRduzJqGZ6XPB61UlzGzJ2uS989a+aADHuOygiQ453ndUHQ
guiT9WiTjKiI7iPpoD0NTX0SCdWoxzfAIYAJNrDLNTnjtsd4rMGOHZmjekvM5iZKtRu0BJmFTLDJ
L0WVTBemTBC4l5ugtMMH0FNLpyGwo/azi06mAWZ4cplqfO1GiVbVKFwO5i0TazO7EbbVb0qXCaVT
TcZKsY7LqzmaI7UXuP+GhQ9HdGXoeXjqgp6RLvjRhWkhcB1EcW33CIPtfllro2Ic0PLIMKhzkbiA
OLTpQIsyvyjlXU1aMmO0CGlw6m7Y80cLlg1LMjjgOpZO+Wj5LXVWF+zIF7kR1Mt6xAv14Vb8hdDt
D+ImbjhUYTZ7aZY+6Cl+vLBhXvda4hFKZWhhuSHO1XiCku0uwXYiqnp/rX/r36zX+vP6dwkw/6n+
Y/2bv+p7/YPTO0eh45qb7d8/juD0T+DkWaAxB6JCgiL5vnaTGnM7DOOswSD8fquaddE24f/87yYb
ORzSLMp+Y/j+A284NsKf6h8aHLRQbPg8KqqLwe/HywSkfp6b/qifrBT79A6fK/EYbpVcxH66lFN9
5YbTPffWwqiadNsH3j2xEvUim+dXbO89P2WbxnpLce+vzUJd2V0BmEEj5gmJezbszaFeTe0O+u1j
EQQHP9iEbnDSYy+4QBBB+2ON3srRkcQmNYYoe5y+smFCyTwfvqTvPjqSh71rCsDwffM4FdmuZzWw
Mq3ukt2Eua4gTfD32tnUDbi8cKRIbodF66SfcwGaNlPaa1TWb/1kfHWBpgNFSULGNsNN5g49FnH5
2I/iXk3AH0irYQtnu8tu8o65PY5nQibXPCM6wCnYswefCgbxhf+o37iLJf8QQEqnE3oOCwTCEj5j
n8i6LCTNZCrMFy15YFMR1uQdkDMfMRjZ2bEXrnynUQQi96NcWomG5wJwGpv7ksknfhKz8Z70CDbc
Ohow4kP2COGkEKcJD6RibSboOuawTR4d7EbfAzgNSHpsWBL8ZB2HXZvj0WIM+uYK4xzYlylVV90c
6QnypGJQgqTBmEdutaIEh3MIaDbHgWaV/VBMBIT2RN+s5RwaWhQQ/5o2JBpujhT153BRe44ZxZMq
GXwQPQrMeAnOszgQokw7nsjowp+jSiEO14cw4Pg+zEGmqMjpgao53lSEpr/Vk/bNmKNPKyZ8y2qO
Q9XJRe0A/S8M1yONYw5N1clPX0RzkKrU7FdvjlZtq75f4w5j+EjuaqrRpBRWnF66JlIjMl3gygn2
WJ6ey62cw1uTrra2bli9ZoPuba35YVjNYa+MUoMDn9y0iOcoWJcI64UxEg8LRZnPBqYa9ZkTgPme
I6vPkbLZHC5bjjmGfWCHzG8QOzSuUGe9Qxxt0BNM64V4Ucs5iq5s7HTNL48RdG29Rcg4F5JsWx1C
wZanCD2pNkffxl4ZojBx5bOWsS4N/YwBSkYjyhaPoQFTEYIO5yzdeI7VjfOWgN05alchU9n1E/l+
6/A9i3eYY3m9DsXGWwpqaOfqunFV6BVtHYFaZ8yqNZx9bJOVNtymQg8wV6Yw8U0vwYhafR6FFyy1
yYf16/UFoh/YQl39KILqPi1ymCyux3M6YwnWZbjpY40Wxxnjz3peXMZVHX0ZPdxKRhiEeKxcdyFL
nAhTe8XUzGWIk5LCkrNO81r7NUy7Lxx9Nn3ggr31xFsfNzUko+gRisIBA+vDQP7x1qyFvUwzNRcR
74KPYt8m3lvBfSrmZ2iTubeEDF1Wengo4YQtclUcHU2+GLZ336WC0EA10DtA1HWV2hVTfVNP3h1Z
Mf5aa9C+VK2C+TBGxDlE49Y02FCDzKE9zPKzniezcsPrABzQwgnAErW0KmeWNj2x8J1jmo1dVISH
xPFPrtlfiMGsViNLFe4UmAIsOLDLRGm+kJgPn2OXNbSdNPEuMDsMQrI1MYB48mDb+FalXUCwtLJn
ryZ9I9PaHOtFdVn04obleb+NkyQ6BLjLWF/C2k/G3uVHYkc8isbelAM1yS/64CpD+M5KGcfde+Lw
pNF94QeJd01phesYFOmWcW50nQaqXLkGDj0qTLutY5swJWvwtqXUx/UUhy63NpNlzXfG7cCkcu0z
0ce5lMm1N8U2LjTrjWPkxMhp2mPFO7EePsvM+NxqhxnOrBnQM810bWqlv0lkHW2Ahmvb1Pf1lQTF
sDPswZozKBZRSA6ozyJja5gDpT7mpw0z7lqjZ8DGgAn0eJim4BKoUlqFpqLPeaeW6qwZPBTAktPt
rYhZ+ccZcKMqIEg1z9DTUab+E9by71Fn3r/9+VHnM3Le9lfs3/nLvp91aOgQFhnozBkLcnr5sG4E
C2w5nkXLhkxX+6HXk5+Q86L85MQzC39n8ff3s475iUOOAeHA1Bz9/a/+wVnnxwPxHEnAsUnH84ER
x5rpGD+edAZNBJ1SeXuc2INVql0EpJ1GbvbtLPynBhBkyj8fqTwEEq6kP2Vdg97qJ/WwnqKTs9EH
HLXW8u7Qu1LBMh64xM1BuVOgU+cYurr2pxvI3uSRI5WGn+gEj2URuweelN6Z7iBOKr8F2xFxZ76H
3dnvwXfdewheN1QE4vV+RbRqrBfEyIG8JihQpKcerD/m37IsjDUDPizLrghgoiA/ZaiTjN7acicF
qzd/sVLZHx1Zgr5qtTJFHZSk5Nn6g7lMkWKItMYN70R9YZ60TreS8y6NT4rQTkjj+cAY6NLUtVer
Lr/mVbDxa+3W6apdDmDAEnaxNTTeBUeutScJQs1AgWZ7fxyrlZmAgakVyWVj9RZSYhmRHnWjfGvN
7ibVyXrvpYofnaSoSZFP2gvhlOpY1ZZ9SCPvovSg8kyTUS9wJZpvMq7znfRD7Zg3dN9ZR95zlAqL
AoJEs/GOdQ4AbDIIoEOOaWyb3LkbdfGQwk2AzhbiFW4a9BmL1sR9GNBIrtHLcaiU87do8BUntrpT
sgGsabt5eF0HnUApoau1N2jDg0yjkU/RKIjeSRhTSqHGVWxN15XduHBdcVV/uPd+0dsZP08tuJYl
AGt9juhEqT7v/H+YWoyIdAOczUcQ/k89y4Wb6YYAt0W1BAG08/UF8XrrbOusSXIlVUduzLWx85fJ
31zrFnf0hx3+e9AMGTBYniwLyhlmpB9/DqYOfRugdjr6RnDgVDUsk4BA6rKXbBkdUpErNGcbZdiK
c7GrXQSO8g86vyNQA9lydMaj52vjwjWmL9hgvU1tsMpvmnLju9MX9C4WJx4OSf403FdpyclCVfB+
69hcDT05fnrI9scC2MNDd9vrObt8IBrSBclteQR08/g1jC3URn1RNRzII48De5bvGPavClNiMAHI
1PfBueHz8EjyCCwgsWZZFtcrbuJjP3jmtgriZFGbwV1AprJuZhft4KLZdcutRjIiCLyKzYEW/40l
5sciMhuu6BZBTFAvbeSa3k9FxJuM3iszXx21Lou3FAIgT0rLl3RfazR1nCOr4OlvrqrZ+vK77eGP
r/nTb1MMnaO6JKiPVWAyo2AT2wbFaqqdnczai6JCaRXYUC2ciiyVlEEyC7gRuyn4XFdgXYjcBy1i
DNzV4o0mYFNW1YVRQGX2pxcrqL5koFggwVTlt0ilf5/J80jgz5/J11H3inP76+svJhB84W9PZflp
dlWBoeO5y0Todw3QnACMspcpA+NPTDUfdL/yk8aslikrHhig/B9jfs1PlB6eVEzdwOijGP4ndKH3
6/j3aw6rjslDf87B8mz0SFzpP1aQ0MixR1N3L1iwVqVzLlhtstxgglBn2gofenLyWsNMYFL4rN5w
F08bfRzZ6Y8NqDSX/uXUFpWgXxrE3rJy86Kl+VuxgcrPULtlN6MJxLkdZHk+py69NEHTH4ysT26k
3qszWcQgcZqB4BwjwtJB8dgQ9DiHw1VN8SXU6K6xnsP+Vn25kF66TQydh0maW88dI783YUbTtVHb
Ubv0oLTBIUYXobkekz67WpE7ZCxohZFhhEDMsqz1bw36/2ukMWl4o8UW99s2dfRq2uPAoJ4oRuI8
Z3QnR+8BwpPFEdpFBuls0Tj0F+MTxNvuSindRQsJAQ/R7GR32tG2y3idWVEV34l4smYZbeI4CFhs
BDO9MuGgW91YfUla4pJklzXricnQihxSJrPjwW1KkLXzGFrrlGeddfOEmjxShtXZPLfW3kfYoprH
2WOUmyZETjIoR1gh3qqY5PWks6fbGfNUvGA83pBlcyhJD2SbDLVo71Zu1F0TcqdvRmXlbHNCLsz+
IvPSMRffhp//VoR5f/HnFeFbeJjKn9TXKP9VgNjHw7r8pJs63mGPLYs1B3795sGjLrjMJG2JA49k
Zo178rsfwOJvON9DVUa8YZOl9/GwTkw3I2fmX0w74Y79k7qAefWHhxF5EiyrYTQ7FtYCDZXP/Pcf
FjMeKdGlRz7MUSSusbLm69WdRlSm8zXcvV/ODQ914C6j4DJH7col7/dVHd9B+0LQ/n5T5PP9wRMn
QNwDCry7QnnDLdR+u5+CoZq4u4a0w3C0qL7deeRxchsm77ckN7/i/mzeb1a3YR+tLLw0HDvhtS2m
YIpvs4KQLYma1limRGXfhKhEonkLHm5KkrSngg3ODvhfCQuwdT7nesfwjjSl7nOJvBhXjFVO41Lm
E4R5UVc5HILSvTSTrmSVWsWPrKitHe7fhkahS/0TvVeAKNKNowtMZW67zPwJAZcb2f7SK4x9HmjZ
kj68BQHgZEfHzrvrjFUUcPPEkLCQ8m7XChbNbVq5XwyGFBPeAq+YFgRD2qg+3MhycE6lzrVAJTIt
pyaLdrDhp5fMECbcJTnW+XLU8AUZm9az4nJG9LSQrNzObLaW4hdSr6JBdI9QgXSd4RtzTBnrbZiv
KX1UKypPN3W4IHpzmjyEL8yp1mOpgq2jNdNVrbr4i+nl9ZXn1A6RH7bOXoiN023Wl0fPrEuU1YJP
8zKnp9PWQT0r9gO/aKs97OmWaUxkxI8Jq7PbwUP3zABhjirvcy1Kd9p7ijnnNxLNK13FwyFzItm/
2r0bvHpA+raQnnzkgGExnxjpCGpBlEUmMPInblQ/hKZeqlOFRJAMqebfVco3/69JgfnryrVhnfwS
1S+/Klx88ffzDEh4/EZsk7Hpot37CQlPO84uY94PfxtAfC9czifPoGniKfXbV32fMnAKghWPpEkn
RhG19D8qXH/ozHh5NNcW/5sB9POZ6mPZskh+dWNfTacJmQaNSPv9CvnTAcP8HX4/MREYynfVXFoD
JN3UxZkV+fEVsDva5VCa+qkexEJpG4jgTKG/dt3uwy/gF03mj+/kj6/zUwdSCDK3VWSxGUKuo6vz
3vn61y+AReyv38ncA30o8cgHc/DivBNjcBadvHMY7IJ68ARHvm7NymxZd49lu2ujy6bwEVa9UlSD
4NIorpocnzK6nOrMtgIMrDngi6s2vunRDw1e9jcfhW78zU8698EfflIzEn6DNI3PwlxTbhnJ37dE
ehe6PPWo1n04wNH45gh2Z/yna0fLv/6o0Nb/8aPSafdtzpu0q+9pzh9+AEJ89abTnPGEcjbS0ROo
9DyRhsn8t5RVufTwigPPcxkfDTXi4f5aT3ubioeArtPEtFS4rhZGyXGSpCHt0HuM+7Zp9mBk5qH3
tRpOsYj1u8Gk2zQTL3bp15tFTjCBstW+ZI9mdNVGb8YVTqFtOJ06O1pnAfp4zt6tPW1BDF1mxiX0
nI0PaQ1/XFDfYqdmAJOSzWKvOtbOKCb3oNKxbzHOjctVYt0WdIkrmxnvxDE1GnUo/+25ozEBAu5e
PdR0+AgaF1Wfn+mNvAJHHENo70B33GU0xaU5mevCu22kvYKsvIjngbAVBRLoSkW0kMu8ukjSR0QF
9PUs4D2LmIUkkN/w6H96V76TPH6/LWdmwA83/s9Tvz5i194M9XTStubO30/nzb25RZJ+qhf6ebOr
lmpNCtVy3JjLgzoAIV4Nj2KfbJqttrUviHC6+JtL5hdXzMcy8VNjJdO0dbL5ki2SPfj/vF8hLcYj
qP3NDOhXV+bH1/mp4LlRNqUhuY0nxP/p7fC1Cpa0QqxAOY/89TvSf9xVf6tIH2+Cn4+ElEllehge
QnJjL+EUtgNkhEVfc6xYBifaob9+wV9VQLRLnEMZcdGh/lQBM9bXjkMIORNVJo3Tcycu//oFflUA
P77AT58d6aicxgLDONXdal5392JJkOrfvIu/e5Gfqqw3eDY5XryI151N1aGxbw37y1+/j189kj6+
j5/K48izGimNZZwM7u0hZSVtX3vx0UNv//5C/7f7uovoRRV18db8j/k7vxTlqAjPa/7Xj3+sv/05
eC1mhMkPf1i/40yu2lc1Xr/WCNa/7x3mf/l/+pf/QaDcjiVQlKevWZSTTNyo6KUx/jixmevFXxyP
iFXF6dP++ut+OxkhKJG2zpKF3s2gIP3e0hnmJ05KbEI5lTDNYWjzvaWTsFjQvtFwzbIIWELcVf85
GSFDeQ8mcNnNaN67DOX75/Cf8wMf4Z9WSN2ZS84PJVKyw4FlTTvHJMqy+Rg+PkV1v63bRJEcNSjN
2eSz3luy215MyMBDh40MCXzYC7ReO/EmtDMtzRDp29ASYfCiPI8yv76wZ2l6bZrVTYxFZmcNbX3s
E7/8WjY+E+9ZCR+mDiSKAGXfsvQE8ORMF8NlrbLmBM5ePgrNbja6z5RryTYS9mTu58ckKD30ITgS
htQicUvHagSOfju5dnaH6N96JNpE3fSG1V40dejskzanQXBawPm6NRafzVaDzWzWxmthtemDpaX5
LrBqQntKv37qmL+tycHFXau8fuvEzJ7asCuv+tmWQbLtJoiCctWRhEtergBa9wKdNZRnOh4Eoq2a
Imm3+tS04lUG3hwfj5gCPrRf5+rkhGXONlgfwpsw9uasupYx7NSY5E8f8TfgudACGSJxJ9PVdSjU
XdmLlQXyLzqzRQ4dOWrT8Rn4bsXuA0K8V/nDo03A3RPdtVUsMOfkmyC0rcPY2uNN0xfTEw9yalYO
3g7ZA/PzKEBb4Zdd8MxoMSJFcZqe/DqcXu1oeMBisMmD6CAcVjqZbnfL3sIjJMoecbqrt+M2GV1x
xjFnPE+KoVxZjZcMiyErCNSO+iDa1Flj0qR382Isqe6lE6X71NPvzKQKd6WoEDRqfbewgL4gsant
Gzcss30jQAiUWmUfBw87UWYg+V8YjYWfpNayV5CM3rNwenEgu8lBB52dmFCJlWq6YdsJUQ/rPq0I
fIB+XHLAK3COl36OJMgFj6pN9pcAP+xq8tBJD34SnzsxDoxa0LjrvgNZZIJNWydT8Ti1gzjj4oWY
48ypcoHyH0Be9Xf5LORviyG6EaAcL8PZApAzgyEBDldVvahrBJIdjXOzrgerXgWAeZl35JbNsM14
BdVBWCDxxkNvXoFkhShJZKD+Ws62iSrSauTeNVTw3rX+a4rx9rWYuVD1j8X3/+VabPKI/Ita/JT/
t0PxVLW/yi6bv/S3ckz5pD/VGGz/LH029E/UaAa1DvMEHLofpM9klzGMN1h5A0G06Eh/K8ckxkjS
g759s/dJ/k/V96+q8TfQ2Q/VmIaXjbtt4eOc2R8/Kf8cF9PVIEd1GgVz7HJhtDotQp67MTChMD9F
kmNp6IRH21JbhjbWVYVXnaGXdm368jpR7SvrM7xsQwi1uzsLHX3Tme15QniJ6OD85vq5m+vsXaF5
dHIA2WGea8QsLcw2O7Ku2PiBg5FLbIpRXNlxeOeM+b01NEvXr15dlGeMuAHa5VTaYhUKMctAzL3l
hp+5A5ZCalfEOh5b6PLgu4+D0+FssAdCpyeGUDrc/+DOwqIheEfrVPXPXtRc+AidGmV+MYN02zXN
IfftTWN6Z52sjn4YHr0C/dSEVy0sjy08VbOAsj8Y90TU7UL2uN44YqgqTrEeH+mQ110LIqOeVqHW
PXpRfRmG7UXQj8sOVZsEUwsf/KgM9DreWw3wnLSaHvdE2+K0cJ/waC0IbbqP424veFB0Vn0dBhNS
lniVldPCLtXNWGON8ofoFFjOjqyelR7bd1ad7aaxvs7c5jk3hqNw8yO7g/POznbW1B4yNe7aCk9c
QM2KyyMNJRxgb28G8toJHbAnotw1To4yKe0vkhZ6sz6SDe4nT2Yhr73SXoZo3TFpOadWNOeBka2m
oNurCXawI65jb9jrmv9Zzhkpnrm22ZwucBuufdSUyNe0ajnHgEdu2oNlr+DHE5u7wo3x5JDeuC2r
YeuWFizgobw3DLRvWT88U9C8ALBFoFXrevT6CcWRq+Id+5lw3xSQkk5ymghDiaFZm9tO5eCR9J7f
/kAphrmJt6tN58XsdVI05SG3VbesMTti9dXNC7i83aob8XemA8QNj/UKXIspvjZ0g50OdRIa+S7O
wZ1gxXTXvCWy2gyyRvW8xRJWYolqXA1DltPLHb4Va1XzJIwkcgYgCUjHTTvZTC2WXFpaBJRBfcej
iKgXm+Y5Tsktc0d4hvFbb+Ff94RxKwz/pXDNFTyb02RYG6kSNA4JLj70lJgDXmFHXSCHuhcsnOIL
1TaEso3Yb6qyRZNoB+soK66MIvvcY11bAVFrYBTDWQe7Abu8lM9BgBlXw/m3KOuqXdXSO6ILBaQ9
xF89AYm4k2022+CrVWK4rxyBvuSjcUeY2Ss/P8LGQquJvTHTlVniHkaVxYM5jzEMJYw9ulJHOa9W
xHeeujA7gIL6LIfxrXW0Q+y5B1mE0WYQAN+D8DPCizWyjeo4MqTfZB0STKMV9kWR+oBewwBGW1Kv
jbAzcfDjdGOd/0BMLJ9yleGtx6+oDf0MHA/yTZwMe1+k25h47SVeMFTBsL+ANZ8izXlGE/Y8yE4t
1JBx3Tr2zsSFzVemANIUDrUK7n6J5qwyja1fGA8NWPUFZQrEHOA3LG8MNKKHMQCQ4wn5EvlVtrKR
JHtt8yzQd9QGO7DB19hl+/cmybnLEfzbZLTAywB7m60wZhMfuYGqvA17M1tp8Tiuyb3Ag+j7DyaK
VRJFfYfry9xACwRt5PXcoohzYKJxW6rexdZmmm+ZBl2m84OZpMN4BLcgi85qD0Hf5mfrDhBATkOG
2HCcWjSL5r5HBROyXMg17cAzn0QI4XmLSGA1bsmXTULtpg+aMysPb/XR0RYErKxyFQMTkL25sgdx
HsFbY4uZ3KlQIpDKSmcFgiFtb0JcXBusvkG4FIU/u9MbDeN4F+5lg7ov7TBWaq7YahNy6TFHSJHX
GaHCLc6sZLwqMwyhjj6kV1HB7Oy/pDH8/+8sMj+W//IsAnxz8aSen34lzpu/+PtpBAWeZrDPI1zI
+89S77sRC4+C7RgaiGrLQLY2d4Dfx+bWp7mdpGnDScqRZMZyfR+bowNgc4+K2eTsQEf3j0Lqfhy1
zOI8wJ2gFHAjMGwBNvtja2iGuuibMZPHENBHfRyGxw8fy6+G2T8Nj+ZXAGCMVAqPl+FZlvPT8Kj1
awn+f2iPpCCseei8MTg9pn58banmDRrPSsWKlACJhFcX+R7B4k5V8bp1YHbbs5gNOtg2d9ROoHKL
23AjUb0J0lgWhnfOzTnAj0QXN4XpSe9mqRzW2Mo8BdksoRuIEA74EJdWWGWMAItxqhe9Zu0HkuJ4
IGgX5v9m78yW40ayLfsr/QMow+gAXjHEzAiO4vACoygJ8zzj6++CsrKSycwSrbrvS5vVW1rKSAQR
wHH3c/ZemwBZAWgzhhatx9m3Ws0C8BAglvUWAkUjh9JTkuHytFP9rY8mZFKKGVJvovqooNXmuGtd
zMqU/Mxqnphaaj4zVwq1ro/XyTQq2NVLTr0NpZXQpSPxpy/s1E4GEgDbzmdyd1DuZUW5A4W5eE1Q
3wdGttWW+MqKQs1ZiJ6RZAxQij79yFPp0uEGcFrCEja9bnlh1d2ZtGol8me02n5JZWlXVP2hw2rq
Gv18M6XWIcG2TYZP46GmP9Sm+Roowwi3CUW0LXl9Gr92aO8INUPdZFi7LEwu0sKP07uMAvW5TcOD
3Zs7GIInvYC736jDVUbenSBltqlgHmAidUrd/pIQb06YeHbdBLQ+2yU6drH8zKq8yqWTg76C0TPy
1dQFJ7626HexVsABbqfI7614P2dsG43EMKBq4XCrY8zpIn3pddsfZYgfMoBIFO3kc4TFYVoa4hKG
R73UXEJjzqIVz223XNJYv41yBhP92pbQh6tobPYl7o5wSh4JB8FwYY+7bBhPkZrdAVgm7SjJHtWi
/cLJ8VEE/aZsxMFajI00NS9C70jY6eytpLXPJX+8OhNJIuGWAUHnQ/xywZuhq5xO1Ujzvq9DxCMz
5trOalXylMi6EeYLbwGMguQ5DNaMvLZLNsBEeGzqH3OZ7CwoW7pWvfSN/CxJBD+QwO6kWF5ILnZl
I/u6pMFNmiuLQ3TtKU2adKuEZMPrknkfLRBaK5AqtDGwqecI2RXm4FIVsWdZTOPKmrAnx7FYPKki
ocoQd4mtP/VVG26IOmA6Xq1vTzKCpYHe3xNartZj7RmYu0nBMW4nRKxuP/fZEVTmipTTWt/OqsFR
yQLzx1acw04lBsIQ8ECIPKCDYX0FczP4Eb4A4sgrAW02bwYih/NZYnebxEN8nppYnOqKkAn2Q3j9
0ioEkrNGvxBt6em0pdgFS7LfLbDOii5Ib0tLqJ2T9/KxEoZjRbPKGKo5duw+Kr1q9wVaI0fRVoOf
Wrc7pFSJH8b9SSghKUhpVdDGIfl9Wmx/mVTizvWs8suuLhHaxNnFRNGUAnhob5aBvzgIqjdjmb80
gfZqpvWO+naVREru2ookeXMmnQI2r+sW13BSYUxul5X5HR0oaYXZBdljnxa340BKIy6wix5bDpXF
bRLd00yl98qqOJq1SUFU+NDmeFP0mNwrjgjUqANazh2OBz8h/LBauhPGo21kRFfELj0SB8FOZ50k
Bdm2mFIMssg127gjWCMQzGpo0wV6bH6l06S6y4I7BM3imN+nSk4cMyE9GoBBV1tqCyXQkrL7iZur
xUrPmlrtcC7eKDVhXRlxHVOO1XIZDY+St1dpIxIhwVAqmwnFkar7XM3dHkhchqK4ByszdrlNzekP
oyzKl0LvJOqv9AN+MCTjHhsrl9O9piIut9SyBjlTag47iDTDtuBEs6X0R49BzRXUPrsvgCjj7pLt
Q49J8wAh+VzYBp4U1HN4UZAH6KV5b9ToiB1SNUjXVFtcIHoQbIy0vhfBfG8VxvK0BEXsQr1oNxAE
FMckpKmj47WtZNLTyrku3YwfdDA19E9NjG90smbwLXjsI1alqNvpHDmcdMTLaeWNN+flsxgqgMZs
sc3Z79vyQjrdIa3nBzlK/CFGWV5W0UOfqfdWX9vHaZ4GwuyTxiuDbF5pCKNTyfKzRsvY0ya9fupF
RTZQic8NPFV6a8Y96u1Ae1InaFG0SydYRIgekl6e/V8vzx9mFDrtLKSGbDWQzpM2uFrB33eG1Txn
oh8mxblbc2OnZW+I8WZs2s2vL/Nx4vzP66ykeXzfvPYfNwGdCZgrjIpznmVXrVAfqErXVp6/UC4R
yc0gePDs7oapIro63bVqhBsaKbNaHKlUJ0aHTmKnN0Alb0Ut+1oEpAM2VxEG34laZ9fLK6Av1lnI
n4lz//YOobcEzKYbq7Hgz3fIyPsypiNanKE1OeF8v0oKo/KTIab9YZj3U3WsazDP0YliYjA/fA+0
56s5T/vhXJHN7UAH3WvMuEn4q1k3hsHwA2l4kqqsvClsnkFb3o/WuOb2gd8ONPlmSfJNJGH4Yqxv
3xWsSn05kE6GJFIvR5ZyUJOrb/QcS4ArAo40o8p7I3Ly0mcbxTyZd69phxEB0/R2GWt8c4rwI0LP
/bTT3iQkR4jOe5eqJHCO24pb1vjnInITWYrY2kRij7P7O1a718nEKWiQvT6Z2RWJcwNEm1naycqY
XOGJzp1lQrlMxzkm/A9GjBKHX4Jeye/r0WD9UMKTkZMn1oqKhrIy+gT1uPUaqTMnZupXsnpB3lp4
08LEWdGyUyC/9kjBDXNPXXy2JHLuzFHZzUwcMg1iTFHhoKsE1nFJ9hadrcfEa+aRiMYsWMp3TQf5
LlemA0P6VxhN0ducGVtZcPo0swgl9Qqha+sNtCOOg+p0mwuRnW0sYYpYpmNttp+MkGlr8FT90SP8
TRG+Tot4HNZu4Qp2eP9eQgEoC/6tO2PPedXsluN0NWRnQZS7Qz19wULDBKCNXEVMnhVnKOq17Iq7
glUwSlGDhu0VGHMH7+2VUVpPmg40p82NetP3sr5nZIgNJ4bwORBa6Mulnu9UFnVvVFCKc1ZnP0Ih
It2wwDpb34V5DHQraktWA07pKFaJCqo3Il+YB4pXplxgApTSJIZMfRCQ0HQcahBxFQ93HRN4A/5W
M4onLL57/APfhMm0tRopA3a2E8V0H9h08IcG5pAGan/mCcHzN6t30Pau0iS6q2PjNjftrZi7JytN
dYd9o+yLmmyxiMjotqdxY62OUC2RPBlFsYeh9VXimWASpT0rmvSkRAMieGgmfmSCcV+A90hT6St6
s5XhR9jFALKAflM0eHrKAduyxqPZ4KVVmAUoWbXite61VQdnTfsWLSNWu7carW5hCt+Y+Zx94aWQ
vWHInMxCbEbMQZFJxmRcmK5qxzdpJaV74jb8sp19kYEKr9jQlCLkXMLLOEj2zVh3P0CMB5g76Wn0
CZ6MPnUFBH417FxFISa01baxhnTDWt065EG747pDTfvoJJGamirjY4kfhgjO65XYFEYkNaXSMWcV
j8YQY2r2PFQteD+nsPe67ikgAb0sGMloI96tySuvZ4hCnpq0TUbruODBMG1ElKMSrgAGiu6iKjif
sJWO1jWMi11YdMyh6lNhIQTtukwi9m3VkGTmQQ/HY7WmfRqrwRf/K91hQnOiCs9myykhAx2kEZAM
rgaM2bUwfDMFpG+dIdQI/FD0+8zhsZKZrOXyFf3wxp8C/ZREI7Q2+DbHXh1Mt8V95ppYdLfjsHgV
+4ZdOZMoTSzsrhnYhZglhAkTMeQQNMonS9snb+pPeco7gZAa2TMu4rQnzoBIsfYqx541Dasi9pI2
V2A8fhv+/Ntp7qoa+EVlWJ0K7yuDGkUFpwsqQ1l+B3k/TLfkSRThE73RX6/Zq9XgL1da86aw7SEu
1o11ZXz3l40tThxyGCdw+nPoVzEhaHGg3hsEGeyjEllPOg3HqgKlURLAdYXO3HBEUkocJgjixYnE
N6NIP5h+30yFZjnMKL5IcXkhw/gOBxgo3sTtWvVuCtvJK7pwk3fxS5Hoj1KUVbdhnw6+Aed2mxv9
0YDWz8bCnxVQVmzxtkWnmY8oD+8qMgzppBx6rdvHmnpcwnlvVPZlTMNjw7JtkumXqitbT8L8brlT
pTzmVUPgd7AfK4UGMTyUzshfF3k23GwMn+vJbghlCzpfxX30yV39c7/lt8L+/qZ+UJ6kQi/iJrCm
szW9RMvX2fokWumz3/9h4ZCljD1ymM4w0O8IukBb/fDJY/Hrp0J8eP7Q5qRyqobz2VCvY11xuE1y
NH+iOPqga/nNhKVblmBLinFUfHj0JrMdo5Zs2rOtumr31o05e5KHeDI/+TZ+Jk398Tb9bH9pCOcV
llqk9exM//yMz0mMo3mp1DPbmDcWNe8+2wSe5OPOdh+dwnncE5N3+nobu9GXyX8ld+srb3S70/a/
vqvqnyUaf13wP2wA7SG2q9Vwee42gye7sj/d9dv8Bh69v1KINsqW+7xRXNJBnMi3mTn4+rl4+/Wn
MP7uU7x/Otfi8+6Vz4I2s9SG+/407VXfdLqNfW06l5bZkrd9NNyT8PKtfY420664M3b3gQcWfkfd
c5ZtaTutR+vMsz3p1O+KbXuJHMYzofeldPqz7M5bY2/vy+O4ax7yzd2vP/oHntRfX6wPN1BS2xhW
KH5QwymdatN+rzbVveLVbuKBQfNiv9jkh3J7/Xby+z20t8lNDkwWDskZz7obYIx0vgXul19/qp/y
0D+er798qo8woJiOe2MKPlW0t53IXXb5NrgvyE5m3OBADnAIL3eyLbC0nfpCI83/9fXXx/evl//j
PfpQbSg10txW83SWl9I3x/G4SOl56KHQ/fo6a1X51XU+VB0LRCLwOwLV2VM7w/gmT7tRfJ1hxCDN
karNr6/29zXuX3/Vx8OklFP8jTrpzzi7OPndVuHN/9sFPpz5tInEIkEi/Tk1jmpCH9A2vV9f4ZMv
5qdi692LJuWVVZgzL1pZnds83VQqCH3rk2/ls/v0obi1StYmg5l052n9VpYMks1/HlKH5v+PQm1+
eMB6uB49w6b5PELljcWZwA13yT9Ra37ydJkfqpIIQmmmOcdqAKlYtws/zTqEar1rgmVMRvU8APr6
v/h+jJ8qEmRz9sdUFAtVR1DFXX/W8x9NsiHqnCbf9tfX+Nuv5901Prw0Gag2qY706UymAf37mzz/
pKvw2QU+lMQlzSctKevhLFO0aUanWvbJbfq5Pv7qxV8XlHfPcRQz9AkynmPOBpjgw8OwS684IiC1
diM/vPRO/pvn+N/uf1fF5C9rzfpXv7sk/iigQGrEGvVEY5i8b/cq5NrO+Kqclv3gXEMJ5B8cw89d
FG43knPb+euqfv1cX2sHTu3gSvy5c3aFG20/+3h/u5C/eyPEh4fViptRJu+9OyuXdSGXHFym+r5Q
XCfd6t5j4Rwg7x1/yF85nDUP85G58ifVCxLjr+/Qh+99kFoR1fbMXsIbvMWbF0cVjn3MvFv7LE7a
tvee1U3gFHRsN4hCtpYrfVKhP/sI5geNk0QchV6MVXcmlcKZPDqbyTdjA53v2H+fdqAiTuZW2ko/
wmfNnbbpBTjv91+/XT8PXr94NM0Pz0k6aLneFjyazWbaEGzpxOuubp+696TM7/eoKJzlTCbWo4wl
IN9UW/O6dxqv96M96TUvmfvJ51k3xn/5PH+87saHW2JJNrMhYC/n2te3Yisyb9osm+UUHxXnLdzD
6nGtfbWjqXcCAv7gYwThK+q26eYu9tZNwj83B//bmu7//0b3Gg/8L0f3/+fqlVSVv2q61x/8fWyP
2022FGR6KPT+Cc7519heJZwLgBdgHWJy/mTTNf+BFVelp74ahsCo8gt/H9ub/8Aix7wCFs//ituN
pqCFbsBEXKB+NOnS7+rrXMwjoQnXTaj7dEa9dzfl+rcH83129lok3j2uuN2wGaNRNPgLmdvrH1Yn
EGCp1psMKaGVH2LziyRfbOOm1XdKcD0OZ0A3v74ewoVPrrh+oneFXQWrEjN370nr5qxuzSExVnNb
qrlThmXLVKK0DkNnVHRajMBpxUYkMPnQSweG3+Wd6SdhIV4mzHt7oUXMBOqK9lZbao5mRSejBEto
qalbNfK3QUp/2JP0VLBXKRVVp0OkJ4RcMZMq6P0yso8sv2Hq7+SMVXc6a387Z/HG4AwJ/TQut8E8
0Rqd4sQxG3hiBXw3h7bjnTRaTHjiWwthpm3Agzdj6Px1wLeUADgJLJTUBDvpM91sRi0BmZ1OQORl
WSrXQ4QZjA5pIfexkybhsbSZUmrSQwMwzhmKl2HRricz2g0EHfpK127jDs5eBeomNiYnEuW4kaqm
JSZ1vqKnttyZHT5qrNMYh+9K2Gs7gWUtUYoaJngkdTfQf/gffQ7O+ZJhzeoIMjnDW8T4zCjdy3ut
/prK1kkIGnZ6fqrMeD+lI8zegOFCep4X8ahkNqg8TLkODgiQM/GbbsjfMnCB/mjoV1OlHwJV84a0
OnXB6Pf9vJ+1+FpearcIavzKSCDm6dRbTel1Sy67oTEe20F+rElo1fVyBSQuDwaxAE6Qz+k57ovr
Iu1IpxzP6ZIe5DI1nYlBspN2QBnrCaI48GCZKXzmt4n5UHdz4yQS2H81rwh568cOGpoKYZOAtlM2
l4waSGbJcpR540WPrNu2b+jtR+TGRhFH7yo/BFl83RfS3TgUzFn4WsoVmBbbjpl338yoXxgFJDdq
OPp2nxN0Mykewx6McfNN15d0DLByilHfjs2wkfXA64TFxEH2yrK8Wwr9Og9Au4wTVLguS4fbaY5u
wW7sofx4VmU96WnhMlVp7mmFYsGKmx+FNvA02aDemNAumP5IInKVdPguj+GxIFOm1pUEprm9V/NE
uJoW+0IaCcsKr6N4uNINOOpGvp1kw89ovvZTcGzbckcKALKNDiKydCaj11NHaU+huJmtEInjKmrX
IErVtvZFb1pX5Q0BH1mMTmFk8y4dSXZtsmJToeVztFk6pO1yj2k8IvC5QwBZ3iUD0MqEAIA+wDrW
W+qr3SeviWlBuclQRiRk4I5tMzN+GnPXCAZr97PM/HfRW1sP/37Ru3pt4qpsX/+65q0/9/uah1QN
4BsSeGxM/1TH/2vNk/8BC0mzDFNXaQdzlPxdqYbBW9bBzhmWjo7MwMX9fsmz4JCxUqFSM8mz/E/I
FD8zL98tSSxF9FOYJMPU0TBGqT+VZu8WiAR5iGouanTJ5UUPriLcJC+TIkfW3iCsOARNMBqHpa/F
i4j0sdnZUlHj7Zuk8blZzPaLHenlnW3HxsLUoR/LjVaY3WOr9SgbmO6YvogIXtZj6cukotYiDkdH
G8CSoU7i2rKKLfqBSz+Ie3JpX2kbvqoRasx4uhWtBZ9VyFs1y+OLOqPigFzmT0PAMKU5RIKcASKU
QjdshpZwkPk1rVFx1CP1qmdU57QKgVfzYnFEF9YmKwZmU4XJiKVnRhPC2hhgYle5uNUH5mCxULxU
M7/NAb15q2FkOiiv4J3uKk19iaxEc0rwtJuiSBjyIaTeUqhytxxQfdD8I7bWPA1WiwM53aSiyE6k
fWCJSkkADFTL01tTcfQmbBCHVyxmS3o71NVDrS/VldaQ6Uy9UoCmksXckIvgjDpasiYjiAZMG0RR
omBOBbzaxayeNIFGt1Vkhkpy833hxUaQv1bOtt/RnCCjM98pKfRd00w2MFBdXWdSg2dy05ewJCMK
Ax9KGd1wsIxdXPBf+jD1jK7KL0WUfjPRBFh6RI3M3pQ0uhclCThdl+ingDziuJJu4oqIrsFgIB7k
WNnDXpxCDvdumaESE+Jeb3KCFwzzmyiLI5iT22oGMsaahwuIoE8CssuE/cd0RJbudqvPSS+LbRYz
PVT1npQfwij7uviSiDbzWCbjjTJRalHlIavHLDECL8V9ttFrczj3VsiGYG4xeDf6viN88IuVGxOc
0B7R0UA2KNiVYkFjXkuy5iVz/9DMyddgGA1Q9+iaDV3emI31iFflyYTzrDbKa8YWxZnWjyEPt9Js
bepguWSkn0DJJRWG9JC5POtDf8rs9HqZBZnpdr4pkDhumimuQSulHfT8+dgJHjvFSE6lWpIujDQs
kqxHyYwk5iMjGdXJFLhSE2/SMT0bVX7RbDBOtrgeWqt2CBRFamnqG0mrX3QkUpGhkrcFFl6U5qEa
xAXePxsl0R8lO9ggeuTUFbT3VmJ+FdJ01Yj+OxC6+7Yz94opTsmQKns5MgXCKhs+bcn3ECT5twzn
wUVdQtOxpqz3qkJc+ONXn1X0VDcG4i85v6iBcl0bOgtV+pXAOddazWeQ4QkQ0vJrVmTrVGjRkcW7
eIwEWyTcMSo9mCI7SllfoRZFgBdgMMJOAecPzIBPVtyN0gZPbGxmllOV3FSbMDFrOWVFd9UrSMd6
gNYif+005bAYXHRUbxKw1xkGkKjqLm0mb3WNQKcqI84qyK56g6ixQicFEjS8p6spGhYFdJ4RIbfs
tGOsNMUNvuSgPUyDQoTWUrDoqwgvbbI+d0piPfZ5gd+/zBGc1nHCWDeTGZi1fPqwKEuvmnT1epr1
gyTHyjnixXL5zo1LYXIiNwY83KIzp8elLsJbiDHZEROdse24BbjvpGynmDgUqwrHKVCBIES1Lrpo
10mQgoENc+m5kpWNlMBe+O8yzYkKyxdtgX+/TMORQlbuZn8vKudHf1+p8bGRLcCiK9aOApnE7xzH
YFpkFNekd6A4V1dMyx9LNdgpsSJX9J9UfHpTv59OxT8sVlayKlW2c1jK/yO4nP5X0bclQ4ORLQB4
BldbP8T7s5yphEqWNUZ5US10fwQ8rGHPqxUDmrujTqGCDCTdZNq8L/ICBBRWo+fcNg/5EG8suyPi
Bpo0VKHEkC6LBDIafSBpbWZ5ymITF1jcfJll/ckiUcezWrxhltT5w5zeiya4JLCMMMqEKGTKxLyZ
QpJYnWZJKhmNtpApbsYo+8TOnRf2wmQa6cM2CiKSdg3ODoXcRW6sIBJNKIFKOHuKFeLiKmMHxk25
68WYe1JA5Cq+OmeeAVcL2NFeNHUTEWjyw6B0npnM/qiiQegIonKFjFHEaIw3wd/pVmtprW2Am5Ci
f7prAJkUyZsd436agxLlch6llKRoz1Ib7LOKDTyeQb8sJHkrI/Q5GoY0noKYPNsArKYLsvUhrnMC
UzJS6DhpXkoA1cZK1x4XAupET6ppjXQyrR+EGV6qWhkZp48nnQVgQ07k6oopeq+QkLmMuly7dsM9
Tev+qqqSikzmMtugit1WjXEwCvVLngxwBlYAywj6Y0FsZWo1IrA0/jZg+QqL5byo+eD2pq5BiW6e
sk5yg74k3DCuTj17FBSQxKsw8HSlBedhmVJC2pKtS9UBGc1UsU86cZMGM7KREYgsFd+v9dzajFL5
Vqsq6n+5JaoYVn4tbUs5P+VsvegeHDUNYTitvyOO5ZmLttd1LDrHSrk18jD3vr7q54vQbZN+W9fa
lWlEeBPtUiIJLCl3qYKMp5K2TSKBuijbK3JDIW42ccN5RdyqQr2yEeL5zczIQ891tD1pscp2l9jJ
9A4mRiqbTjYGfhu2YLCmaDMkxVWoBy9zPcybjIjRsNUERmv5i17XL4lWo4HLEm+uO4GYK7wJR+Wk
TKv1b8KXZn9rxFh5OXRPwlbEPqwx/WELPXV9e4nRV0k3ZWlmy3cM9OmOBcuz0+oLUP+akITh2K5m
tgKB4SHp7OcylW87o/lmVbPb1ASpLOGGtolXtePB7qRNI6vHMovOcVkepqQ9F2V2PRTIslGd9Ryb
+3EvAuPHIqSehsmo6du4R6MDaX1Y7lSxXIU1DQgF9Sy+epoSoya4rr7FrrYd17YFinnI+dp1Yzy3
a1sj7+2HggM1+t5jo4KrzTsDMxULTrVc9wv03AHv1Wz0NxQ7RGSdp6oG8tiYXU9AX4VctBOgPfK/
rO5Y0nkxFdMN5vBuqRCwi7U5E61tGrXpeFFys9jaoUKfYm3naPR10DuGu3pt9ahr06dc2z9Sz5NT
VFgWi7U5lNMlsugWmXrxo6R7lK9tJEJ6viwFUkUlXXHytJrYvJHH3ASmg/XzK4rd4GSn0VU8WZQJ
Wb7Oy5yXwayVC3j27yACJl9exu99i04vF9MtmRR4OIrhBUvCptblpzk2r6ys3iD/Q4pMY8u19FYH
Ch8+FuDVcCty1LZmbGpkxlbNtR1nR1kkm2XtNhh1cE4IyPZike7KYrYPpmQ8WNhBuTIKclu/V2Ti
EyMDLsCCvNKvpmTya0m9mngNrs3SvqVvtJsyPXaLDEWTyRZJrRIa6aUGW9PsMKuYsdOlpC3acf0a
1cSVdTMbeJFlPgi7H6H9Flfmbdtptyn3hHVAcdWQbUOXWdc5fGc5kvgWB/R8mPI45SxsM8ch2UY1
hpI4yWgAdtK3mF9HahyeBIPgJCM8R+C7IcvFw1GXlMLnC513BrrMqUALlFcwmEuIwr1V7OwJlTut
pXA/lQSUS4DkiJcnkmU9773I7RLvKcfEj+K4C/VpI0X1nRoHW8gtDV5k0fsTdlTHDts3FOcxoEBt
2xgmzL66ZuyEjhZH011vTCe4qYnL3nfbF9T6tDqPZZXtK2W8kCF4K5MmjKJ73gBePJa1vZPwXeHd
mPvN2KvfU7uHrWGaN3lkJoTKAun8737qt/0Uw69P91NNv/y18aHzk++2UwaoQ/obgh3QTxT+vxof
6j80zhsWmzfYu9j13m+n6Mb+1Hiwx/mN7fJuO0W/gmwPhcwL1G//UecDteyfWuNr50NGh0++DXs6
+ADa+u/vOh92AEkktKzqUmChBsMrGjxY2ZpyWzzGgGt9NaFj2SLdYY03yQszun1tKD8GFkanzPPx
MGYdOJYIlX8n97uwDP0V2U+4MO3xskBoumZOJGbydQwaToEDRiwSAldv71D4Zm5YyDhm+xoX3YPR
WA1NbG3mMV9OiBgecDuXrhw/Bol2zzJcXEwlkNxyYpfRx0SByZMSH/IMc4dOTkxq2zesxjBGePIV
qek3IVll9wVvBcOYY1JN80YmZxQGyC0blcu0vkjkLJ8H3qxQr7fG+qoNvHM5XJhofQmbubxq19cy
7LRtKtuc9nljSS1cOLuHg2+ur7PGex3G9Z1uzxuQLESKASJvmybeD9QCRSECe5xGxARraMvCRO5n
7ZhIAVqryYTC1ssa5E2o5YOfFWetPeZahbKY4MecwmRX8cFeK1VCyVooXclaw+K1mlGStuNa3+q1
0klrzVPW6teTYNZTDrW1LqKYxt9CpewomTjfb8v2m0ohNfl1/VpZ47XGRkr7GvWF7rZr/dUpxMla
kbW1NmtggwGjwm5b67aggHP2vQVeV17XuXJVrzVeXqt9vNZ9plXqFhrxvb6uCelge/DEH6p1tWAv
BPaA9UOwkMjrimKxYw9YYsjLJv+AZj3n2YwlqFzXIsWIH+11dSrWdSpYVyybpWthCZvr+Qmv/IYt
wou+rnG5NtyymaFnzvLHlSd/YkEc1pWRxpHm1MqMc5JVEzj8lb2uo4PWfFXWlRW/qIpTnDlPJOWm
X5twUMmzbmuWUmw/zIWwVJOQPEj0HNap0fRzgGT+HCZpFcg8gtvY/FjjYTA0kmrNTVNNu5U7Ohva
6GlB82zrY+Ri4WPsU3EJROW4/nfNiNikN7jFVhhspTxaHrSqpFOmwsTQKvPOqsWxU+bvWVSnnpIa
t1kQhUexDP6SD2c1giBhgxxCAbqsyv1vyVLZ4BXMb7DOyM6zlhbYrt16pdLeYErjFjdXAY0oz2zG
6lCabGpRhjt1qvsh2GeecKt3lGnmJya6cugYZ2TZwY+sCq4xV/WenncyeIC+dEUPFi5YCHtXC9lf
ZFHvwh4/IHZAMygOY6LCjcXomRAZ5JBM3J0iXcIaC3nxuywH6X0p6xWWSWuGV5FFmF7/uzr9XJ0M
muH/fnV67r/+TUN+/Zl36xKMMJhdwFV/O5X/ixVNBwAQNPR4DFUf1iWbf7EZ2zIa/siKtiDj0JLH
iI6vkNP5f3TMh4/zcV0yTY1OAs19yNT4yPjo79elrIOzwcZKvnRJ+RTYBQFlqSYdVWykRFAr1Y2B
+WhHqbLPaxtrU1JJ0Xzrh6Y0CiCZE6Bf3TZOTcODp1spw6dRbIexv8usqbpqFsmtBlnHS/umMNLz
wMfvNMEedhHj3g6sTWzSAGDctO1X8GVhz7lrjvrDWDQ7PY6Ke9I6oJ1U1RuQYU4H1UOj6BXHAI3I
lrB+y2b48mVLgjXBZrupmiYyysuouIFMuFUSXb+WNHEMxGj73SgHbj5KqIOV1QeV1ddz0L2affgW
5Na4UWderXCu6r1V2IBKS+mWXW52bVOy2N5zVMeLhLF5Nk0vAD7jhhKLRhGQUUfWsN/Y2rc2FjeR
UZ+tjqC2KkqfYlW770q78qRE/V6lxgQDNXxoWJHjut33goSOfFF2QW1/k+W0wLsSYeCcbgoZFJZQ
n/MiPCaLfa+wlDjG0pVOo8r3ZKiqzsKX0NGVdMmFKtBYG69z32KlN9snIGacxfFqOLUhPNoB11am
KzjB45uYSYMj5XjPDvOMIxvYxA+5qQ6yKM7WEh+HuQz3WtLe9mtTdTJkNDYNQdGmyJxEZDgxqgzw
PXwxBsY9emtbZTG0IXWnrFNN7sdFa11stZq3GcN62o3Jnmm1zVa7+a7Wg+wQcxbeSD3j3SU23mwy
4s71rP7ISmMWDog72eNwYJ+zqEHWW+BOC1I8Zej7002RFdUhhCEU0YBx5cy60EvoXFLAiNeYS8z1
NCtapTz0jXqG4sVUlFaC08VsE5Setoxi4ImZCMAelP5FVNGXNKV/0fS402iGwluia0P8qUp0FnMk
q12+mPHMyLX8mrNk9GTkHvRCulGs6oce4RyNpm3PuNotSLlxZehIe5HV+0rkh6kzsPZol1lJLyC+
J9deh+xymTzKY/Bg5FK761Ib57xkPjRdiP1XUU9BpWIdtDBT1zVDjV6Wb/O5O8hjvK3T5DaOQ1/0
2TNO+q+G3ZRMi0HuzGSlW//D3plsR25kW/Zfag4t9IANauLwvqGzb2KCxWCQ6HtD+/VvWyillFT5
spbmmuVSJIMMujvs2rnn7MP+YY3GoGpZSiro+eU6tnakAxCjkq50KjFndIB7ZyaHDzpjrHUn5xe2
TdhKDXzW3cIQKamGU0nXLFz0YCj1mzEfv8f8rjeuVYdB6bJrqEx2QmV9EVW3cf1qm4LtY90TfrBZ
YbHRwDHIx4ZVd1UFWdoTnc0aGC/kssvZ+SFH5zI25rQq/PTchK0ZJHWRBdAUCCJ23/yUHrSifDKy
5dkgxs3PxySs5rxRwJLibsgPvI6WYSRjmJFXmWAeLvp9J6xvsxT1FVJfjqdDm45aNmuHqgB7U4I1
HDKGRvh/cZ3d+27poOChRK1sK+wOocffsrSxsy88ewO9oV+nlpYfigLxXzfLFatRl/Rit6y0yssC
XMX4//x84CLsXdOqo3JjrPI18iOxxGi6o1lQByakf/gLC/x/ztlfb4H4Tv/3c/Yhfu/kfzhpbb7q
DyctxyL0QNQjXXisqv990lq/AC6gJ40/weqsspj/EtRt4xfDJxjF+Qtp1Uc6/11QB+HJMtz6F73l
70LjnL+4GbkBcsbyt3ATdWDU+YJr6B9PWlN98zpv8lud+wEfT1KYhj0+D54b7WSjXesYAxJyxiXL
+YC0s79vZuoKeRN162HySUknF+GIR5wkeVAaEJqpbqp5XHFD8q29n/dbV4YbmhP3I9JlUZDYHKGe
ELp66xyeksThV+x3QSGi9HjpZZb9p5fGmxEMmdRAT8xGzfXC/gB3uqNJLSEyW2XUJhX9Pq3bfSvE
qUujTQVvazHTjUYylyfqcHYBSns4ykaTUPfc2gmQa/M9B7DOJ+EVvpuz9UIW9DUAl11LPjkQoOjo
beyOMOuGrR/WJ2lqe2GlmyxOH8IBEtiEur0Zao5CQ/WJ+vWWzZy+L/jhTpbHGmzxRwbgEswp94ir
sPIftKPWu9kkV5tESHraHD62ecU43U9rvRw1hvb0ktm0hCeRmVEuSm1bXHswtadqZqvrb6i/OcaO
LNfRmD8hsmrHoimRoaq7uI057HxxNEBLrMj1XkRpPjYoqqxG7rCR0Wq2sGqbixGKk/8FNnVcaWZ5
N8XsS2xfvKWpcU+Ug/k/JGZLHSYtXq71uBTJW1Y26zHn3pT4OKGsJDmzjzmljf7VdYu7B/5ir82k
nzeU4RKYDq07Co9f4pSfP5qJvSxcJwK3ttlsVCA+S8veFB2MwTQDjpevx6jFEwFEYpYGe4iE76NP
HbkLUaIcxK/hXNxPrT0FlQ8MdbH6XRSRy2hKOa8k2fL1mPJ1OXVwaHOZvSuq/lpV/otjhLzuHSsB
gzFQL+o3o0/OMk3ObSKSgwZXh/JzLqC2SapZdLMZFJolV6msd6FV3ZSxOBML9pAG4FtFXXKjp9Vb
kzYJW1CSzX3Srie7xHbFD0owlIRXPuwbQ781zS6onbFA6g9PbdQfurJ+6rVhV3XlJa6qre1OgsRp
glejG8TGVkejm0Ox8PXhdWkS6KWgFtNpNyY1hXMlFoPSVRgI/lWzd1s1owwyMTz4Wb6V+rHBZzxc
Qi3ZzroAQ1NeDae8NQcYH85y1ZiV4OMNmEeQaPqeNUMVLyw8WJy56Ai8QZMwYNYLWRq5/Mr5SwmA
1gE4lIJtDV6vQh++4mzK1lNhgRRRhisr675PIMbGyodEOPUAKJqUbYgQO6N0DrEByWYJbbRPEzfe
ipkVqI02IQtNVhiQ1h23QvPRyWsTdTSWxwrIKvQ4+0fvSML2mC8qa3htlv4D1m1KpJnUfWSNt3PP
woj2Iths0pVENcwB+lJfmu0J6q088exRVc8MpMnUgOsrC3lwSjxqW6uH6/I06Jnv72K7NXa9DbeP
ZHFJ96o3tcvG76PJ2PilZjNADqbl7+F2zuB5LGdJbrSymPsHoReGfBhFq1mnfuqJmzllHr/SMm0O
10zW+ypCZKlTzIGVTVdakjjRqqFZ1mij+y60hkBm09G2y37bai28RM09Od6UrFlz2rBO3I+mqjq8
hm6zKlL7NdNorY6HQRkPFvdoVbyZs9KnjAC2M3uL6lsd2u9x2ppr6QNqgrvyBbYQBT6u8CiWo7nS
9YF4vIRkNWfTZa679ZQIQie1drHL9k4L+1PhV9/Yg3wt2P/GCaZcx/qSFYmTB501HeP54OhjsRJe
/Z5k1b2bhPCdTIpnWfaimkjoPmZ6E3birKXzWx6bX4uh87dEzlc2FEDrkrW2HM15Ste201J63N5n
alWrxzqc0fWUn/LYu+hZDq5nqpT56RBbFkV18ImDJlmgRZvFjetlQKEcgeKnaXcssM316DkLHs/+
QrwWQywOEn4L9d4r2T11FWYFC2tKAL9nTcrc2yzsZbgUaY8yWy9O9GK2HVZgCDdwSNEu/UyMfHOc
MCITe2sRIBen3F9bYxIRG8fFWkz1uKEQ+lz7En6ID3MxMrxrMpYXFP+C+G94FSXFHUWHBiLfXTHO
G24RDzMKI0oNKmgoOECctH8Ke1qz+7F8YRt9TLWMn7FfXkG6wCADgc17YKlWdChpQVvJz06IJx7Q
W+o8z1kRy5UZWXvyN0/NkOy0xJsC+EkHdNPbwa/vhVN9TzjoVgjIN7YuT8BHQsZmOwT5arSBo7eH
SBs4EuQYrUxHpKs4yw7CmQlSRxQu+maz65xkDBK7g3nV38KR25amfB4K4JCgmUk8wyeae3vaZHox
bCi1bNgMhgQvIv7UQxJcuxnoHU0zdi67rwPYahF0cNT0ukupkZTHnivUqnHZHXXTE4wyfQOu6pLx
yNpqyRLttNE45aVwA8jIrNj5pAGSNm9dAxuW1tW4gkq9OCwmbeLE9bG2sGsOUs8CPJDcxn2Kq7wC
Q1WyduchxwPOGfdLYfKRcPxbsyXN71P8CERi+qBQ48VymmtXeh8wPD4mV+fiQWl6Fr1SzOyupZUc
wqJ+1St/b9kAw/H0QoMILJPaWT2PT2Y7vkdFvus981NkyzHqkzsY0jAgpf5Q2uohrjlbnvXxP2P3
r9VC9n+Vtx6q/L38DykL9VV/GLsVd8ggavAbdPkPixebuRvIIVRCJl7cL7/5WPxfFJ9ZtZOxCwH0
jLvkt8WL/4vOukanUgi+gPc34YiGr3wq/05BMHZ71KxCP9ABGLpkLf4icNl+kbZ8juarL6P2FldH
cZ8YtfeKfdA8zmOWvc2G9LY+HTEXpO2QFeYQI4YP3P3FKB9ivcp3y2IkJ1dU4cbTJMWwSRNv/Ea/
yfNYXAbLCM8OF/I7a5J8/UAYZU15kaKyoExrDI2TuTSrToKiAoKTgUXVy11ajuFanxesl3U3fSvi
ODri8F9gwsl0jcw7M/X6NQP1/CzMJogVUT4svGPPHQiovTaeyqwSm7Ya4VVIEVIfoV+JfJDVTrIM
HyrW2ThxkNsUo0RYkuR5uqhnapp+1rMx2nQBFetmWSKFOn6LpyjEJTMEiXIaVDxJprTMDuYixkDa
nnkbGdGrns3HpLfarV2XaIOQnBJdajvpRstxiXrrGMe6t8lxuBiQbg7EG8Raj2N7l+WlvRlMMwQI
NPgrzmxAhkVNdqIa7pY2xciQc5UGvsY923HwYMCtNSNxk1oM9MPMb0fr6RhIxtpaF4lhXDvojuvZ
G+tDE3fH3ky/0YKJtJAD7mXtl27AGh3jqFlkEA68YDzq2nWuZfo2dI19amu046AxTc6wK2QWKg5s
/T5UUXqZpP0JqhpKrY7ds3CQ8EcuXQQ6HlyLFa8XWaAzpp055M9mOkpxtoVMkOby69AYt5XpP+tR
5zEys5zG8TOhzq28BgYU8F/k+Qxm32BHl65jCPTK4tRZxqfjVP22c8eHgR3fquNECzIdU3FR6Fcv
EvuyqHaD5ZzTiRbnUd/FBumKJY+MwA1dlExcA1FyLZZEYgkstsKGdrU488VhBKsz7Qm3GX0Nk32C
j8if9OG3wmy/W6PBmRL7Hyg2OyS4JwyXCrVbk2KrO2gwJbTEmyZj1xSYCLcfNgXYAbiONt6G1XQW
Ix0NrBeT7GzQltnD/OGorUVorSl5ns6RayaHfzSQXzUQ3Hz/RQOpWJ39Jw2Er/r9YcyqG98//SW/
2vx5GP7+MLZ45LJocFXx2U814w8PYx96LVUlENJw+/2RVMvDWJVkq142luo6vSN/A5zP6P6nh7Hv
6HTHKxlGbUMsH2DtnzUQXFawKvVUv5o/30COei/RbNt/tGm/GWxUZb0Isz2VYcxHhngO5RCvQq7e
a3Jb32WRP3jFKDCOmeteSlS2OvkOYvLQDc0501L4k05LW3szrEN3kIS+jW+jN0W7zhy7U9E0h2YA
Mr0kV0tqh4JnN3TlldF2BFlCGEfDzDjodf6+TPBwUPPhWXItR7cKKm25hUYeKqjgvWnJN0ZdLXCy
EpC+ZvBR0R61GH9ZOKQkmZNkGwFyzNNX6s2/jRHM6tRJ77sWBk7bdIFROKdCb1jXL+Vurirzotf2
NcbmtdIN+7SQkBvK/uR34Y9ajKeE1iGTe/6dPWHGj8rwAjAK/JqpvbHf2xB9Mt7Zn8+rMfPpnG6f
E1P/ESHtrHhWNgFenqfJ07j2DfxDcrHPMv8y51G8wRwchHp2SZb6vUPJ3A4hrvNxlgDyzMbZlVjw
wwnho/WLJ87GK6nFb4XLFiLzzPPkNztpZwDh0WxXA+20fhftmtC5Zia+Smdc9v1oQA1ZBOZ6se2V
+DvEO136RAr89K4sSDwN5XRGaD+PnQ9yKKxfk9ixAtpUUi7L2XPTzd4qy+Srs4ynUfXxyq74qvz2
YhpWdI4zVvYx+YFSupBMewhb0tx3IbuLrokezbzFGI/rh1FYHEcXVzR9nj8Qwh+icN712ThtMHUd
58r8mdP7nOz6tNDX4qbyhf+2Lyu8CfbgYyszYdnGqbxFRMrPYioe3XNl4EcXHuMtw806tsKY+0X3
VRjNPvXancupE8i+jbb8Hy9G32zqCtqmng0DqLDuwRjaHS3Gb/ZsYGnjoVz7DgqbJwJZQR4ry+Ku
T+N5C9h+a0voDxzOmzkmm0K8xg+ypb3UIoerWCjS0WztzKg6ZZjmc0GcLWMgsbPxmMZQmuKWFLXg
d2+HJ4m3hC1D4s0flJS3LzEwDrpJBYI4EQrv3qwhV0crvy20O70WzT0kOIZuUhH0PejbTItdMi/h
VxZNn6EjdGCKCJJ64x29cnru3Pa7zNgM1VV1x7m10+LszsD/4ROUCJBbsbRTkmp5wzrJ9XbrA8IC
AWjzj6s3jcd+3JrSPbgve0M2Z1yJ3CPsM3RFUCfFWlIyYbnz++Saa9T/b37IlCXmJ15ocFSpdpgT
7Vw28S7OtAMZk5WbGUGU5iBqw30KPzrzy2g1keGc7eVo1fLFaFqCDrDuTIhlQ+GzyE8g2SUNTrjM
XInJ242INkVd8II8yzbdzVO/JboYDEV/oN0wQizwgIp26zgRr0UKbq1r4/NABS+uvERsp8KFZ59h
ZWNiRET76IgR6hJ46uRRb8GAREPABVTcgappqvZMHaFlHHltWTZqdDh27UffDlcMFesutR/1JEIn
mNvzknkuuOdyY2d8CnUk1WYyxNbI9AenDz9hwPLuHCjyoSWWveCwNyLusFpDNpQMRahjLY1BzacJ
3iA/GYLY7i+jV54mDShDkeWBHfnwF/sVWUe1AkaU1nfC62/Rhl50sz6E+O3oz/Y2WZrz/JtKDUhj
dW8B9gySpb3aerSao3SvoP11MtyE7vKI9gJHV96FZn9sm2HlNgQWJzGvl8Xcum67sTTjgD4zrLuq
XHgKW1vhyBOVSFufaqdA4GBoav07pCPowWb/zaIrI6BbyiJ0Et0aqrAhiu6MxT8Lfx7A56LaucvI
hjMLkBXiAE4xbd9aoko9nH5HAcWtlWvbLJ9vTeF/WeaCOlevO7SvrvU19CWqhUdNXmdZ30rPf5oS
YM2FQwvHVDhiM6Vm/ppZ4QzKe/hKu/4UT/pz3pcYoKtzLIiE9m1yjxMWEbf9ciIWh71R38QTVIN0
ecoMU0U5smeewJuudO5aLQRKros3zW1fpmY6Uc2J0N8XHjYVn8ASN2HKEuKJsi2yorZU1mx7PrBF
Zow2wma2927XZc9Dro04WRDJt9oix8Cf/E2uJwckcuzbY7Gspyr+YYN1W89DNQEBNt7FslyNFiw4
40K0jiAFotsR3LGaL08ykwqZXUCt87gkP73GWPVSpeZtVZj3LCbG1VDZsDm7DwfliOgyltX52rkT
CgLPrxZuMkHT8mmated6qh7zBBvoWFrrOmdZ7ZOGHzJ3CeDAkqllzs/7tL9rUZQ3DkuTvV3qjM8Y
5qegMKwh/v+ASUx1F/zzXRFWmfJcOFgsSOX/xaTXNeAEZnqMr8ZDsXp1tsNtE+DsDcT74313qY7J
pgrkPjk7O7Dq+2obHx16Ty7x7p8B99cBl8Xbfxlw5XuZdPl73zHQ/mwRPPz4v//nXzoFX/n7kEuQ
FRsnQcffzTG/D7nU+CmHp83izjF+1uT9W3HQPbi8QhCP5QVmkv1dcYDrwNTsCk5Nl6qDvxlyVciJ
P7+LSM4Q38FrikFHZ6v45yFX8zUra6e8uvbMbMslNWsnvTFsPTU3khH2lrNlkEGRO0TwmluiFB82
bXmb1iweB4M4SWEU58Zs30j9HfOuvE+KZC01s1pZaXjxHefCJ4d1ujfuImuI6CbNztS3vSxp+UmP
0rSqBrMbg8yt7pxo2RoFXIQY/m0PVnZt2sS6c5leJICGiZ3ourWG0vhOg+1qGsYo31Jm4BPb86w2
OZqZK6NdZmgY3vRBuFj7aysFeka2kWoHGNpe4hW7xhNHN4cM/miFEj9jWIxpT8KNDr5zmybdWzqG
bNEGqzC3Qz+kZC779OR1pZsGwA475N7W0dbiZ2cRh+mwbJqfXUaFo3qNchqOerdgms3LF0+VH0nK
Bf1B1SHRi1SHVbj2RqqSUp/SJPSPC/pKE5idxJROs1KzhBD3WHJW4fBk0r2ktctB0sU0oCaXw3jA
Kbge6GqaRoemT5coEi1ObW6yrkvea606UeakYY/oL1BOKWKhAcpXU1grjPuh1w4uHVGAEG58OqNM
i9StNu6NRDJvFvuIbqlIQM2ma6qv2u863VOCOh2TLioWTIwe3j40oqsbD1wc8vohp73KK8kc1vpu
dLr7ViKOT+Mhpe2q4LzXab8SfgdNnTosv7BMGly/SqPa2PRlWfRmsS+CKEH3EsGXkF4twqFvLT1b
Xu+va3q3QEvfLFVx9ckH4YS9KSGCdPR0LWN1GejtsgvlBLJZsLBAotcrDaubjp6vxXK2XLqO3GR2
sBq+mU669ekFqy35Paog9auXPvJYULdGkBTGzqdRDPKuXPV0jPVmTDomvWld867BbykX7cmhkyxP
1SsMxrnOikMHkxYS3UrQYoYVlbtB/sI15qnS43tJ21lYO2eL9jOTFjQ9HdiuzcZ5pB9t4IcIBI1p
Gc1pIQ1q7OGDNqZ+i2Y1ugFPI01rVYcb2p/bz9YzQa5O960qZQujwbkDzLBL3JHCttC+zI5ZXNsc
ojAzEL1uiVlRW68aNlfO1Fx1cjujwVuqF/YhxwUbNCrcU5PymUn76KR+cKcxQUZ3k4oDTQRIhzz3
1iB/v8l05u1HdKiuwx23uZmwbfiNReFlVDEjv+gfM5b3lmZx61FRJNDVtHD9jCepoJIWs2OqB62k
7sm4hLZ9b6tYE2QP1qoTrzhth7cp2afOLiBMEobChaYReiCdzXB4kSSmyBUFDqOxzn1pw7uDV8tE
IRQqZwV3JChJXhFRBf81dzA1kisg6bNFRstgI1+4zU2twltjU3zUmGi25qIBmSDglaqoV0Lmy8n9
Q6VCYK2Kg5UqGBaqiJiW9kGlYy42Y1K+KTkyWhvYHjO+UC75KlXUbFahM61YbjBbXSbSaK6KpWk+
KaIaiP+UxER60uHeJcMmhXvUOIF9rc+3tN1hCUvGC3HLeTWoCFyhwnBCxeJMFZBj1dts034+Vyo8
51rJNSNNN7g9lW3x9Bi5Du93SmlKkneDn11DFcXDLk/PCek8BumSkAwuQFtF9xYV4osdZsp/zv6f
Z7/zX+kWj5/x+38St9RX/X7uG4hbmHvYJnDGGz7n6u/nvjL4sH9Q0QrgFxQq/SZu4eJhTuAs5jzm
iKfj49/nvvjFo0KSVQMeRb7o71lpHQPd7c/nPqgpx1DfC1wGOYe/GHzKnJky58e4DiLOOkxk1lPk
6PTildqxzyNwP/YSOGojGA79YRpndKPCdDfGII7SydygxqqzjVJaL7SKFFJasM8ykhy+eLFJ+/oj
MifC5YsE9bJz3arX1pbWP3c8rO9n2hF3buuG+L5nkpeTh+uf0qQaJPsF8Q/wQGQCffWM7zLsvvSw
l/t6LG9aMzUIGVRdtmHFez8b0x1rRfeuqQu8JdlIDXxeAlWjyXeVC5Xe6PEczaIWOGKLjT9l2zTq
NZLsXrhJsbev/D75YZTmRGXeQLxU8mHlMsItmTRguJIWjO0sLI1raOKwnPqS/xaLcu9Rw7Kq+fZL
klPi5umsGgWZ2wWlA3eAWnxa4yX3yAZX8XEqzb1seZwjT79LGg1ObgSmoZKDw5oyva+cTg1Ap0HD
ety6FgT3opl3i/p4tz118j3KTBu7xJJ97aleugfRtjwqdUAkzXLbjtm8Rqp4Idf5UbXVTcO1YdUa
8dHwnVtHho/RQEnNiLtwoJ6yre2D3osLkwyBjE5z6T20PQKT1Ws65kcqHt+mVNIGKLSvKfJpdpBi
m+TDN6cUn3XpNQfDRqNKS+njQuHXgm+TOGocxeckGTkIKID5ZpbVrT+nz0RTi9VYcIvOS+zEbJd4
KHNTxg/cvbhD98axG1S2WW0yqnO4fifklfPmubLo7yx0spGT70brTp8eK176/Ke7Ixl0uSkXA8QR
dIQgsvvbWtlBdGUMwdn9Ydfylb3EjyIq7W1oGT9qZSaJla2kDE0GQowmEZPb1lXmExprIr69iTtW
p0RC/+lSSZRhpbatg6YsLBF7ucDyKz4I+FtmfC42fhdLGV8E5Z4bI+2yde92X+wXXH5aZQv39Tqo
lXkmWTwKTUPYTXjSMC/wGQmnCkqIst2ERhMw4lqrEUdONCA4xf50tfDqmHh2ECmubuYfNFSB3sTk
uQ7Hi+DvpOPsoVa2Hxf/T1a4L54orhizcgKw6bwO8QplQOqptPrsSvlKrQTsp4mdWpXWYtN5og0q
Ae9MpuRpsvpimv2u04qnDndS1kRniYK0N/AtJSY6Az4mux8B8ytrUztN1yI3mVr0/C3GBuW4+LBc
ffQOaeOdTVHcJFimcuWdIipvkrXOqDhVzqooxmOF0So59NiuTOxXpCffcuXH8jneVy4WLdtzXvq2
u0KLsdHFKrGelJ+LbgF6wJTHK1ZuL62Xu4jZjyLYBZGINenohi9Un+Ksr/EqLtjGFuUfQwsECS3z
dY29LFzaz0b5zbjeq0i8uWdjtjA54EoT/FqDAaOaiWFNjkiKlvKwoZDbtCy07j7D4AbY+2RjeEvi
GAaY8sDlmOF0THEL5rgQaxrtXPjlGloJIKoZ9w5WOuicyqpU3pnKZYfU8+WKfsdIOWNa80Oo78Nd
izUvxKI3xN1F/+nZg7KWKBdf6BV3Oba+yUu0Y4zRL1GOP11ORxcL4ABtZQXtwAnSJs8DtxyzTa48
g4seXxblInTYe621Nv+KlvCxqdkFzgYyhqXch1Oc/mhrdJkKX6KuHIosTk2s07gWR/ICe4mR0VNW
i6VZ7mblcdSU2zET0cME4atXNkjskPTKDaxY2yOxRZqFjTgKsITPOwsNO8hdgGeQ1F4LLJYy0t+b
bkpYMuK+9LFhun3xZGLLXDywZXSMb+zB3rYYN2nWPSUYOdMupOONNxEd29zpQNLsZs/4WLB/OhHP
7Im7EqXCm8ZoP9FeLhLDKE0tG085SLu5D2wspZVfrsMMl9TEvErKae9hPtUjubUH3gQ6zyPlTqVp
3F+zJsmDafYewepdsHN/ZpIHZWK51Ybc3p4P97SSGF+ZL4kcdOLaCpwpJubYnPftys+5wXrK1DGY
5A+QtVsHBd31lmqnz9E7Z2e7qZK4px2AkK7OQunq+2T0NfSAXdu1r0lmPDhlnwcstZ8MT76ltDSt
Wp4Lqw7n64qSTjD4k4Gt1f9uwfbftaJFZ66+t2lDMMuvfnSEr1YiJW9VxhaXpix11iHXd848tjH8
2VhTlScQScHoINNpFZWt/Y9Q7Xp1r/lhxeU1TcHghFqIsjyEF6NGFrajOd6KiotgxNIZPA41vHzK
miD0HeDYOp+yOsHhSma06qP97LDH9nhOavShjlr5MFdLvEu09FvmUXZGubkVFwDKw2zHHMFrEA4P
hlMbcBGQ5xfNO9Qy5iguQVrkjEZQMpYZZ6LRXWForKO5+KIboOJeOV4nKtBWIK/OupUggcn6y9dK
fGG2eBtVf7PWFCSuS/c9ix0HzVV71Zs+vAMrdeFp3onwYrPsiRPGZcA6mJN0Ag/NTZXTDkfQI9Gj
iDtAw2VfN0QT/0pO/ocS57Az/d81tMe+yiEGff6/Cpr6ut8maShxyimPL8c0EGKV6f33SVr/BX86
bh5ENFenVOH3Sdryf7HVAlk3zJ9ztGoI+82z45FXM5SpHS6q+Ems+RtrYvcvYemfa2KduDS6CZQ4
eh3UGvkPYWljcNg9EXq+LoCU8B6xgauYW0AsLeRytoOiLqXgl2zFYXIAMum9sUsANMWoMSUcDiqB
8Y1rxH+M49jV7xlgJ5oRggzQ07QYKDL2fonddpUpFlTsRW/AQe8wuGUbF1wUi3Aw5T8JUooltRhj
fioUXyrPYp5HijlVAZ/qf6VQgZZQXCo+xUSa2Ki2IKtcfGgWCKsYQ2OtmFa1SF/pIVLuX55ODiET
s8frTdlPcsW1DbwMOpbDPEUDNcSsRLGzcAqeJTAtC6iWNU+frKwunS3U6uOR4aYioxztKnBcrqPi
OwC6KOk55orYJWLnyQLhtVTy2xi7206xvVosOatR+Lc22K+8AMIDBiwd0y2yUEgylmhz6nHMGq32
IhTiplrqtQ5OLG4XIjIAxpgh5QFSJMZZRR8DvFXAjhLfJq+4dQCU2Vjlb+rmDsTNtmCVzLFypbZu
21sTdwv2PCkIVYstg2VA6Mm118EOXzgbt25P6EkoSpqVF98TsGn4ZvD5KJKaMaU3s2KrNVl/p08h
e4oM7lpjHwhHA2KTisnGpD7cRGDaQsVrQzgcg7kfHuI53fC/k22i6G4SzFvPjxHieQoyRYCzx2rn
JITcWp8+NAyujaLFpalGjZQiyFWKJUeL933i40Mewx92Q1VaorBzlXuvcRcNNOmehSLT9YpRF9dM
jIwZ9xq7cwduCthadvVTkz76YfnhY9MtwwJKRPYjLdvnSLAao1wYPh7/qH2tSHmsKiFHV1MUMDps
LcXTSzycB1VCy0DSrxeQe86Sscsd9plp5RtqM3HAYvhHHK7XtotJQPfq1wqEn2Dzeo4dftuN4vsx
m0H6nAwgoB2QAA2ZbLVMM2tSQ9QXIvZPDbDAsO79AL2a2TbB3AD+xAckyzUwBzOow01lyMxYgXav
CSBC8MP3pSITeopRqBnQCgvFLSwVwVDMJe9MoIY1cEMfyKHljNF6RnbU+/BHOGjG2gKIKGr/vgeQ
OFpcMY0wPHiZBjuRN/2K4M52UlzFVhEWzSjr2FxBXUwVf1Fb5nfYUMDlFJsx5ze6kuAa5UCFGPhG
arrhPykJS4B2pEa92MzZPVK3obCPA/xHYmLvUvEgp+ExyyGOTP4taTQmowgJdDSBSFrQJGmbLEGe
eJt4kdt4HlzqWBs6IA18XdgqaOLS5nde1/lod86mqnFPZT7IXFOzP82pu+S6dpl0SerTn8sNpr93
ZL39XEsn4HI/83Il3KpHaIVzC2LJbMaHwqP0r+mksQtxwSnvFT/PkJfrsecdyH//MvMJc7Gjyo5t
dfHOtfum1z+7greE7RYJiXPvqW6bmy4Ha0Oa+LOusZJp47ZLJ5dwSm5vytFj62pwldOX9hwaeNXA
2YGqWfxTU/KP5gYEBEqWb3aRM4NoPIOjxBcU37c2gKtoHxK12FfG/N64QJUFj0Y7I79Bkzuqmn1Z
ZHztyLqs2Lvh1kushzEtRiAQ0Aw6fYc387Gmp5euxAcjarjagMNc6ZX3HmHeq92YHYSdrMdEB62o
90+auxhByNiwyVMM+63DmzrrwrfBXd5a2dzTORTto1zbQ1LoN4giVOzK/qH2jQJGI68vtXxr36LT
dSQ3v4qK9nva5jwq6qCKxZUH3Q5rNSQhu3ucw/E5M+VL2/hsIrP+xRaLzhVuNNa6bsanhW6OdeLH
TjDH3JWrqIHxbliHtksfStfaLTWydpgZb2OG01/k6dbJRRr4AluBVcPzb83nwb0bu+MSvo7JyY6t
uzLl4ua4zyk3x8QqeGlKuXPL6saEDcs93uj2eup+GjzoN8YkbofE5aNtY27QHHz3nrskm5z20VVC
MVwlxnNX52jd5t6bch6/ybxZZkOBLU8xRdrkpPoXTxJG0Bt5bOSNWn5IB3Z1xCodwjVriEokO7Np
IRG3yYsxLzuocP/D3nntNpJs6fpVGnOfQnozwAwwNCIpb8pIdZNgSez03ufTny9kumVYqt1DAcMD
bDbQe3epFMGMDLNird+EJ6nE9j9K5akzWNIhmlzRoVb34WRUNBi4uc3bcpN5l3tHhmNL08q0AbYq
mecU4Nk1dcmFamMHiX/apfVEzxGRMqzvYQZ5qqS4TNqoGIczxZdxbap4zxYy1UvPrucBRBpUSaoj
tx4p0yJ+ci6PXKtcij2rlsoGOBDbXsM7IdvT9yr7sV3MOTzCQ6fAn8xQTinHrdiNjkyXqYMiLrwN
CSJZqWvf4KKzQ7Q46+mVtPQL/UzXK2+Z+vJGG+QNmlQ/OXKEVWa/HGRpltjWTAVPqtV8RzCc2Szq
47s+gMhteP5CpeQ3qV0uvqln3mA83i7AGofzjiAePinwVqAGZisJeJJ57Imaz0/IRoruXgHyX0pS
pyK5bJ1rOaSLoEmUKeyNrww/p7gSb1B7OmrhoB7m1L7KylyEdoUChWalh2kvRwCHUW0NYhAeStHd
pHUP2SO+NvRhZsbG18SB/l6EgEXHaNXp5iHOufAaFEzEwdgodf4FRfU7NteLGoznFDo2STSzuELu
5ZANTll0uiBxKAiM+ZQDrBGwlAm42AmTc+5oaM+5fjMPnGiYl33NfKC4OPPN0ScfV8FSjCHImxhD
B5m6HitotnHXLfBaZHO2zTOC3JuyzE/wH7WmWSLNFewrsSuEEB8etp16BXTkmJW7pJwrQ/33RRJP
sJYopCgctZFyErj1sRtn37n+3CBVyBmRWt8rtT/NepRSusCRkBSnruMY3rdkkNOpAul3DI5KvTzt
Pe8w71QyUIENoT/njJbMr03eno69P5HT4GesG0dFpHBD0oaTtreb5VAO5NB68zRRbDhrCRuhBODK
CFDyNvRllKknnTweN6WmIZBOecVEej3skuRCA4oz82obe7sOklHrU25tybNOceADR5ekWA5XcJNB
Sy4rMnuzUg5/Wh0xjN03F1aOopWDrO8CO5rqJCmQwC+0DvQh0rsZtPUodqWF81CTVR/qs9RnqNWa
tXRkivKt6Wcr56GiGz9Ud8eHSu+/yxoPZQ2Vu8mvr2Onm/Q+uwu2cSjELz7fx3CqAKOJCIj6iLPl
R3/dx/QDGVFuxSERJuuqQ9HhmbosH3DMyIbjaCbuxqJ88dd9zD5AzBuxD8vG4+KfQHbRznlV1RB3
MQO6sm4LRwywuwp3xZd3MSuuSdWqnnTO8iAQQP1D1seN25FGiIwYJCCQQIMAonwACcrkl64cgRxU
rVZi57MEotB7ABdSl9NmTaWU390H8KEhEbyTxhW6fYO+CAtwpUD6OYEr9Gm46OgLUr5khMrOXvR1
0EMHlpzDUlFvUlDEd14Ro12vYjid+RYsV4rTxHRCSDjj72pWAdkvUssfuVBVgrkINtZvjaMutY7C
sCQ/rJUrw09UkFXSolGbnwj0oY9bgCSk1MFlT23ntjScDl5GtcMy5sgFI7WQkttKRDoN8VSk5AaK
npQetUkZ9dAsBH4QSZK5jWz3RHXLfD4iSgRHuLoIK2LhdKixb7WN4VpRvkP8gseGoVtQeP6Mm/Ul
/Ix0oqnK6QAVlhRucE7V8q5Ci9G0B46lOiYF3BogJux+XNRWFxylqAISKgf9KhoqeV4ZBfbIJcE3
8soyGbYcFQ5ei3SuF2hZGJ4D/zbTpohiHBVEq5MI5NflaIfWAiRAdNm38nmWI0PiRITUID34pWgc
g0Nuk6mbTbUUmYMwRBSmRPEAK1krBQLXEzRWtiVh0+D7ZOcdWAHXGEjnizYUqq1M7HSVli1UiyoL
jlxTsk8DvQOtAnHlNCJfRNpIEfkjpfFhN5JR8kkteSU5pq6KVUx+ndtIqb25SyJKBnE8JXF3gkBT
AuxzOI9F1sonfeWPxqzQPMB6iT5MUXSwpnppA1tLKTxJrbkqRSYM/Ull2obDtS+yZHioL3SRN3NK
e6r0RoMyxNCpyH41gOQMgTIkK1py7OinrZFLR4NmAa/QYu3CMKqI0SYNKVeopWigTiKPzHhcn5SF
I89QTtXO26zjeC0MqlQ6ks5SBtOihDUa2mOz0Pz4R9xagOV6ZTpIfXXU9SIL3nrKoaG79lmEfIeU
OPeqVJ2YYXKZNfAaJe20yi2Vq4KUnw2YJq5UE+Q79zsCQRzBkeCMMTp3XWQXN7XUHwexdRzo1sng
QxkCU7EouDOa2XjIMwMFSU8MrNwRiD02lOAk8W2PgMNwT1MbLmti5iic+R636d6DbINFBEW9qOAl
gYM5yruACj0FwIka2Wuv6ViBZnCOpBURJ2bnE6luE8LeAqvreOUgjGKX5Top7UmXgc6l/GNaAVtL
cliOBDPohchtlSEpJ1/lwAr8PFxZrX7sQHPqFFGuqEmJd3381YbvRGnzKxBUm0nqZOa564AJcO3x
TwRyr4yxWQnUi5Ykc7Putans98eGFAEnbtc+EbpZtki8ejnofPuiitIrO1PvnYg1nMTapnaGKx12
7CwpciTQxkMpAhXDO07CJpjqChbNYBXaUYbN4yZ34zB86cR8VKJwVTb+xZhR1iFBboVCiS5D1zVD
MoTuY0O+xGT4DFm1qToioOw2M4lrjz9KCxIeS5h20yQPKZsiZ2nIPTtRcGfaJP5BHlE9m0a+NR/y
7DwFqT1P5Wyh1AB3wsa7UKnLBK237LlsJZl00oIwQSd1jRML2r79tGCJqLo6dUtlpgPddut4U8ab
zG2u+pqchy0T2JoTyLY3RmHNkIWZAXKbp3WJZ696bur2dVWb5PiNmeH1V3rvfIlDgK1ODA49g5WU
6OXUcR1moEulBJtu20n+HIrgjB3ucCggO/v2zLRh53uVv9KQ/ezH8kZWagTX7WvTzG9sv7ry2uGy
Se7TId8UsuxP416ZWJrI4uALCtA2wjDJl4epp/mXqFCcZq12hfQ8qguQdksZaAu6/7K8lJx2aVcw
ev34OjSyk9pQvmJ0gJO0U01MI5+7EvK6cnPIUjyrHPtQ0aojkLx0WMy9nAHrU9TZCq6Kuq7edU12
Q1P6YQ+9aah0yFsh3BSo9ugodesqraapLR3HdbYi1z7PUMqdtGWE3wyHhJ+7qDL7QzRpTAvViPY7
OZUfdQHxLLdWsBjnua9zu6nLJT7cK3BEGDUYkP3D9qYr5e9ZSV0boq8AXQduw9g5c9zIqLsYzE5r
0RrtJVq/x/mYTlsJ/a3AWtq9e+5q4yrVk6PWVZBGAF2VNsFhAtg5d+UVC4x0in0Zls6JpvS3OaZm
3BuaKUjor25pXlYUDtPKuGp6T57YSnXdGMaszdFSoiwsTGNOkHM9iiFDAs/zTkuxUY3ZzRDVx2pp
LPJcVLs78P7YC3Yi6EmPAfJ8LfPhSFGzY0nV/XPJld2f3hDE11WFCsWo1kclEjpjB8a+jjh4wnvf
M7+GdWKt1A6inUMJRzc41PUI4URKzYFybyboe9TFTVT6K6TTztlvg7lcRgsF6g/iAqzLGPWeUVZu
faPKDx0t+pKUdQxmPlpAFLqAcIj8CDWrNANzjjDo0gWT0akSmlZjNm2rcmoBt54qgzqLYtKKfnrR
e9y63B48wnCfSzmCl+G6LqmGcP6xAsDfh60F2tubl76UTiUihKhuwH5ySPSgHlrJvm+RR6kCFFda
6xBdjnmaieswKRpUG0bIA+nxUCOsXBtfMiMQKgP5NK1APgRIs/iddJSib5xTKFK4NZRKhphGfTpi
mFKV+V1jl3MvhN7kxv1pq6NMAe3I+o1htUBF/42afowQyf7jsgaT13EEZOdlhFh3ZVk2QSqdy8ky
gP2QkWJDR+tF3Hzx2NxLM7PX4JrnThCokzWd0PYBuv2iJBBICbg7XZHOe/tn2S265rZHnZgMMQSx
j3vaFvAK0+rnnsQ3edFT5maDMrr0pNpngGkmuaXMx3GVkZRpfgSZOf24u62jx2rCpR1rCPvtg6lA
IGyuqd5FK/2om+PCu0vju4+72PZERMsEy3SDWNUbCrRrWj0cmdy/QPgMmFCDin/sg+X1SIkiq12f
fdzdlidCnoZLC/ZzuqqYb24MbWpW6iDXwUUA1SbQiknjLfLoN8/03mqOt/2iE/HzF2+pcqXaMF06
CfHWqcuT0PFnuz2GeMwXPbT1SCUXmPpFmZ8C8JxG2RfEWn/TyWus+MO0fvUYb15NHg1R3iZVcNFL
qJwbAAwvUOphg7s1gGWB2UC/4p8/liqDlcN5AsVH7Q1KLQpQxUkBfV1YxSX0ZnKKK8v985/3oZmy
CVKPVwQm6vXQuYaGpEpbhnDlfBCjMyvNpuAsPu5k29BployxoaZoFgaHrzuByWNZQdCHvJ/b1AQC
z92DzcBxr5Gd01tyZO7lxz2KOfVmo2OL+7vHNy8LmJpT5soQXsi9NGmr7xoB1Mc9vHHjFepk4Ap1
xRCFTzRDxXX/5aSrMt2PsJ5LLsKTclWvODxPs6kxNy79K2NK+eDw906vYpw+eqo3XfotxhQ1UOGL
1qy4JmPLgFKJmi0/frLtYwfDQubkxPPkzdsibW9adSKHF5CUpqpybNv1b8ZOjP7b59AVMduwtQPP
+WZi55UaKEMlhReo7U4GWyXa/BEgHeaF4W+eZduIvezpzQbHjTgrFcsMLxRj49uXhntdjL/Z3rZ3
AUsFoVdW0ltX7gAfQFsfvegiTc8NlOX7QJ2ojfmbo27bEmKy/dXLm1cfla1fDx69BNEdNRNXk+al
jghzM43qCylaxMZv3tG7x1JlhGbhxKD4ATtGfxMqqI5Lht3CkKJuF0X5ozMhZ1z9w4n2pgtyaS9X
UNp6DKiPzF6HpJEiUWzE3+R/0wX2PJZMwEOe7XUXYd+DLOemdVHFd9K4orz8mw7eTWWegcqDwToh
8aYa4kB/cfSwdVqdIpxNifOSxsBFbRWEBKbO5uFB/g2SEbnQX2dl8Wj646QJqj/OfwZVvkXfRvz6
c24WrAwQPQiBDmpXDpJfL3KzApCOfg0AckBlDzCaZ7aZAbSc30EyAcAMOxK/9YyV0fFpEobED2uA
8/cfCTi/3lZRtwEcY/MvXaU9jo03s71ER6EiDPPOPUAflUqK53fhsG6KNl5srLrDFKdYTWpYVkgo
C9z9y9mYKJmMXc7Qn3mRtUr9BkazilvBoZX0p73Wmx3n+1AtRiTq5ybutVRwatu4Vmtcdmc2JI1T
q7ScapXChTptSsmGmdFoZnFqmhL3Hb1qYF/LuWKN8wpXpwxxk3wZkY+blxLQxL4vxkWZeeq8I2pf
lL5ezKusCxeamcuTtDUvQisVEWZCui3zIPJIHglDD/KJtEiTbsyu03L0/0xCpCY1JXCxe7IrWZo7
8aCrIcK8/NdcgcuizH09kbXrmvRyOKWqVlzWPd8iIPczSgquMr1/o+UK/F6fIjVyYySdopXWFovW
Mk86hHkmVi2dNX77zYi0L4VTXZcYLHhp+82kjAOWATRhFOgnRYkEvF6c+KxshQ14pXCDAgJoHlPY
m9gyVPzWA90YUDiWyT2O2XBUGvJtHobkJmJBA8uK8zIwwyV+VCdNjxm9GQ3QuclM6i43QTtWNn6M
LO3gOEh+mSGJVs4QT6eoXPc92g6aOx4XQ37cUh3qkwhPOES4YSWWIDNHRLRh43fBadIZ2tzVdOzo
gLeOY7ly4TL7RhEjYGQABpCiVTkKX8ZKWaVVjw62n1xnZX3sw1pDg1M274aW6ttQet0U6u1hnzNV
ewVYql6TkgVGmrTuqs8LcJTIuilkVLgkoxyJ9BsZzdAQJUsAPr3eLKsUDlDqOirGg3o9lYf6tKCA
OvWcctVG/YDrmLzRzeYehQ17UcZmAmSJzRrlNSO4zFM7mSm9HhgoJ5MPsBTpyAFTvEB64g5ZgxWe
SGe1Yn2Fa7aIfdcUbDGwrbbAkZ2MiX3ZpumhE6qzsMQbCnxZYnbRsovVhd3VCBJoDDxVRhCt7XdF
iHXnKFdbjvNjNNtTpPIQ3iz7IyOWL0YabZX0NIG0P+oIJebSWq2UDQKOq0wfTzQXHLD1rXd/ZPZ4
hNeffWhQcigtA4SOMvFbOG9Ao5oayyQ9iU4MQOWeGypopUXwMyPnNvbUW8F3nZVYUTk6blmdfl74
S/LioJTGhsLiWBxiDfnF7quvetTOey/qZ4ZP4b9FMpIoZ5hg5nZcZ9GKRB6p/lb5lkv+F4Qcvkq5
cBFF8VlQHq3+qHCko76nMlKF5lEROovYhNllW9UMZEez0hu9vtK78IjnOzZC+QfwEMroWkwuJ0NJ
SMX54izR+2jZS4l6m3W2dVPZGcy2fhjcr0ntRle9a5Fi72NlrlPdABJb+7NCwteKZDtk+HpANVuV
5FnHskB9wQjOGl0gwuOydfF9yHEbmnnwOJAfcGoqO4Vr/xxN24OCaX6TKog4bWWeuaTp5m6ct5Na
dyomM8UU4A3xMRAg3F9V46qWuWloRVfMPGorE0UJj9tsuE7yCFASlkGTNq+8w8jRb0zzOuTNz4oG
gIHVV+mRrcXmqZv7DPZIXR6Kyk+d+BQRhMFnyTm8I+OLTOKRcRzA8A7eSZhggTJE7mVUZz+b3pmG
LiqKoQqOXZKvXTTiNS3/UTXRfMzCZRvWfxL/niNLGqJBQxpG6+JbNWzA6lk/MrQTgG2pmFQi1I3z
GzYlVWpPQms4qVxjNgwgAEE5hYV6j8xLv8ihbIRpe9tq7sLQ6xwWQPMDqMVhXvKaIzTzXeu7klbf
kAdFDjZDl6IPr/t4OEmdblkXuINJXfjdQ90y6FiiPVkoN1l4CQlVOTav6no8NyrztveNsyzUp7be
fu8ojSsdZHtrbA9bHXpoj049b2OemtGPsRDX49BcYHMJJDTG5aa2g5VXIWzsa9wzQ8O8VkbeWhUr
Efhk6wvqjUe1ZtZTsmzYCPvHCPDCdwjSiyAY62UWemi+4u+iyeXSQPhAICSkpj/VUp4eO6cTu7GW
ZeQdgfa6dXK0hUgH5hAENcNeRok+qSpqmIkaraF+z0BRLpsYmB3FrDWQ5yPGehaMPcQK1TnSm+Gy
ymW+pl4dhbKEXbf5w5XzVQt6R6/ba1e3Zog7jYdVD0UzCfwLWe//dOXOEOahP2QdRqUKVt4xYqR2
ii9Jist7lGZLKp/FkmT7cKIoGM+q6gmiEz9MF8ReCYpNVbMaWQtoVZmudxdkSNFLKT1tHtnlTSr7
aDjK9rmMkjl6DEVxXCGmAc+6Tw4N07wDqolQnAzGu8tN5suoxPNBRixP04P4ntosOBgt8RGrHdTT
zq/+YUKBEESQ81WTKAS+17uUEl4sChpDrnQWhl/N6Fvk/NSNxYsQ8OIxnnmZYHxzNXnXhYi0XsTc
A7PYjBq6kIFxmdZ5k5+TW/i4jzdx/VMfJjV7Q6For725OEIJQh7aCbxzmRKdbZ2PcM77LxRWP+7m
zbXuoRuDoBV0iAklUn5zrfOykAJl1HrnTQKTHhmoSmUdFl8b/aJrlYlZlcAGH5PA/75KiID/g6tE
sKFW+R5tL37r+QahCqCGQjmGdYsMjUCz/4XuUA4I4UEJawr5X07jv9AdGuRUIRePKp/paNqrGwQe
747gmVoGWQ4yrM4/QXgAMXkV33OHYKpYaMZpEH1U1Xl7nR2hjPhqFsjnXGWEeMNIGK/8yLx72aEA
JSrfZnoS2C2gws4BxJTz56VqnYNNPG+KHGSCdxU3nAvVSEQm9Ysq8m9Sij/IMV5pqY2QEfablXWL
DQ2l0r7GWDw6rg2Oc/z3QKZ6oL379Esop+SKHTmG6oQBK+CBW5CeqBGrxwYwblS11qNAEYbjjapL
XCL6GrF2zAP70EIMK1hWDadamI436BwtOz+iSEseo7f82xBTidHOTpywuIEUkQBdUf+U0AVGsfBb
pIAB0RvjsHSkw9EaLwCtWROebAFov5nC0MPSEwQbxCCKuW63qgOieHy6BY9mYRVYblYoWg6J/a3o
kO7P68FaUcdVyEDqx6Ecs9t30pI0AYZhQekuG4lAVe9XKlB09tOrLod5Wyfl19gY1nGOP5hZ2Eee
L3+XEYqz5QztK7k/9aIcMIRnSXMjTJdgnMNp35Dq1KsV0qSENa5xNCj3xMg/PLf5OtgGeTAdNUeU
8n9EcoV/TaFBodU3moUZGHvUV3N0yZMCJEdBwD2sqYWDQm5N7N4GWGLDwra7eY5/RlMxZp4X62zw
Xih4E1ymyrO6R4to7lphtqiNwOiJFUGLjHou16vMxnO3thB2UtSaEKfI5BJl80BHw6yqkMFax22B
rEVtqDUqxpQ7Jz3+mbqQAihneJ/hAYmJJMLSzmnSFNiDZdpd6pfFBOdedaYBrhOHGv+vI+Ybqztk
LXGxjIo/wc+aiNvjxprikW0pA67mRnRlCQIDZkhnkq8ioqTmtEGpO5P8m7jXb1O7p9zYt9dYhflg
8FFt0AvjPsyrPxHV3ow1kMbWir95ZL1x3tUgFQK/jrhzl6kUzMOu1ua60V70qubN4Eksdb+8tSOj
PtQkPZ4brn071NAEc527mGl198j2gcVH3ISZg7I+0jj2VEYN4zT2pDPvNoZp5nlHaR/e6z2wzoT5
QhCPYd+xmaIem+WXrQZJD9X4r7kOfNzMPHFpmViwO1CPMr+7cLgXBn9iK913bywucSyfDjowkq66
TUGuYGWEuIlkWWMwoynEF61oJpm+BLcU0XrJr6Zx2aNe1fHGuZZdNcIcKPKBPuMWNOIa1OMehK5O
OY31Fi5iMUTlYyL0/4Nz5ekrztb1GnxDUIM42JTD1aZq4rp6pjeJn15kQVp/yf53f+njhp50kL6A
c/iv/1jfU5mZBVVdBne1+v7MMfizVyfVwxd7+NYfthOvebrmnh4080DT4HeJhNbDh6MqzlLv6ceS
QjKMUiXCRk8stBdj9KtR+PgBH4fz47/z4ZffvBWKItjZcRBseG4cxRyKj4NAlPZqEEBrWiTNdVK0
D339Hw/Cy4mAyjQhxD9+fh7w7zlgHQiJDdMBb/qrOQB1UEUrlmK/+OzDIGxZDhrR9z8eCdp5NRTU
zAHRksd9/LyfCSReoVAKDTD6+j+eCVsGQd59T3AOEDXhKDTEvYIP6d/Xy0E5QDMYvIRIPu/lIAjN
lx1ngnbg2AChKcX9YlFYBxqFLVWx9nMmiHe38yBYB8jZ4Z5FVf/hw1b7eiaoByq3Tkto6+3lRBDg
mh0ngs0ByDMy2R8nwpbDAaFsVou9r4Mgk/nYeRCwGoF3oJG7Fp93W4IqFBWRIFf4yV7OBIEO2HkQ
DASlRAHwcRDerQa0KB3xD3un+Ozr7ihTvt55KBgIwySH8TgUb+cDYSP4VQuN9r2ImHj3b8PGp7dz
1/+nt8n+Cur/UexsC+l9cFUiKny9Lco8/UNi5TGi2teJoO9+QqAroakgvshJPXzeTgRheUwtXded
x514/wKmp0hul4lgoUEr7JRJ2j183m0MHJMwutga9nUmyI/LdJdB4KKIrB4SHhDIxIc193pRqCRF
QYjicr2nR4RQRdl5X0RmhdVAZLh9EBBb4fggut7X5aDsHDEJAUYOBgGfefy8i5gYBGE+gqbjvs6E
3QdBgZDJngA68Rd7gs56AVxqqnsbNj6+nV32BFip1Djgqj6OgbiRvN4TOChRECJwfLxm7e32+BjV
7jIU5oEFx8AwyKg9ft4MhYiYwHUZZNr2dFE8bVm7DAJ3KWIBG6zu487A+349HzgjdCgL8t5uj8K3
bsczgvQKJG6oDGwyb5+ekqFCWW5ftwQB393x6fUDEmjs/GQbf7UOMODWdMrlzz+nx/0LG5+W6S6r
wWGyC+NDCrAPny0RE46JCjXhvQ0Wdp4PBAvoDHA/eL8a9APQnRqGs08n6J5ui8rjobXLRKC8gIC0
oLVsD5gU40AQKCCK7PcxqTzuW7sMhUnGUWV/pGb5vPxf7ZGKjZChY5pk6Pd1Pux+izBILT/k35+S
z2+PSWIFkY7j5r2vAbSy+32SyiTXKMArT5fqt7Ejg4AhDLAYIcu+l0eEtnve9aHwiF4inIHXsYKC
hQ2q+LgWPQ3Pno7B08vZZUtAD8dQVc1+ngjvhoKoEp1SvCwfL937eol4So3vMhTmAdkFwkPrKcfy
dmMQwDOTBDWF2n2dD7vHz9YBbBqDIXi6Vb6dD1TrDQ3JMEtUKfZyY9A/45xkELCQEuq74rNlEEhM
U8ve27zrU95jl+VACVY2HRNB0F8MApkohLTYGPa7ICNgwTteq4ibgJpStv/FaUkeHqynTKS9r3cJ
oS698yBgEieSC7/C8VCMAMaDzvS+XrCfArpdFgV5eFzv4ag+nRHvsq8gkBWS8PtbkRHBzo4zQeNG
RaLJNn9VnwTZYGhsjntbpNV3HwQ02nWZbJL5q/wCMwEHJYr6+3pQarunoIkWiBWQWnmqRmxZDqrD
LUPI2IjPvkaP6u6Bky14yGJZPOH8tgwF926SEHhmPnz2NHwSfIUd9wfnAA1NzEDgaDx8mGev0gwE
0tSnHIOS7r4Owu43bBJsFGS5Qj7tD2/nA3dMVEmQJNnXy8RTOX2X05IQkpsjGdhfhZDKgUA/c1zu
60TQeW27rQZysOB0yCYgb/Hw2ZKIJtUgo1a7r8GjkCDbeRBIr8LUe0ayMOlfbwmAOChLgHt9PEn2
9aB4mqg7LAqd2jX0NN72c932/VCYhBUGuYY93R2f2Ao7DIJG4GALUSZEMR8+W3ItiGQIAbe9HYTP
OCJU1Ew0+Ve4T5Kw8AcV1MX2NYQUulO77QzYIHGpBLwlcLSvtwQWCnrCCnWqf30d/AulzL/IRlMf
MvUDzQiPwW1spF/9hWd+zfufvwBCPnBHXv1NQTt67PwRLin++79fs5AeSrEvfvpcmn3o6en3nx7x
feevOnt+ruc/XMKsXZd3/vDwg+Hpi56tE3hK/xPzP/frtzBOcbt7/rPtlKm/Xv3HrWOptnlu6G8P
egGU/ftR3/Ox/rXGk/V9Vj439KJx5szOjaP3UW/74pzgO7c9XcfrlldSPbf14ruz5e3ePsZl1btX
yi2MbesTGkeheP3HNKvqbV2wknfuYraJ/zhD12bb+BMn7dz+PP5jlpVMnue2Xow/95Wd2z8s8S3d
1jhb+c6NL+JNmj638+KLf8ZyXTbJzyy+r983r3zGgl0l+aYM1vGW5j9jya7SYcugi9L5zoN+vCm3
jLkwcNi9aaRbt2wEos67c9sn62jLGhIAm09ouqo228bkMxboSVb98T+pt4k320bmM5bo6fqeDfh5
HP5eRqKUuPPYnK7LYNvQfMYSFW3jT7Xlq6ufsUR/57LyQBHeISA43ZR3m/vnMf573EXNavdxz3CI
eW7nRdufsUxPs207uvoZq5Sm6025GbZ8889YqWfrfNts+Yx1erZp1+9jRwNB5Odn2WGqnJdrtoDn
hl68zs9Yohfx+m6zJXYUyeCd5+EFllrbgjuRXt258auA0LEK7reMjCDn7tz+9foOxxCa2XKWCqrf
J3SQ/jHZpMHWDj5jqQpN0gkH9rq832oXpX3GohWdzIKNt22UPmPVivYPWQF3QXW3rY/PWL6ij6MM
w5Jtp5WoEH3Ku/69POyuh4p4jtN1vdk2Tp+xnmm/Xv8xWZc/19tiBoHd/oyRoo9pvL2Hz1nY4imm
ZTM+f92/91SBm9n9Efz11juhyKPv3vhH6mA7T6CgilAab56/54uB+ZS1nMXrbdGDQIzsPjAEJsmW
A17/lPVbrxFLitdN9fxNXwzNZ5zD1yLNsuUcFgTanYfmy8ZfbxsaUdPYvXFifJSMnlv6e1yMz1is
Xxp2gi1HvCCw7P7VP3a233U1feMLNts2SuMzDt7bLN6yz4tk9M7jctv83LKQjN+v0m1p2b+oNe+T
tc9KTdt+7XUuWvyNu3izLv/7/wEAAP//</cx:binary>
              </cx:geoCache>
            </cx:geography>
          </cx:layoutPr>
          <cx:valueColors>
            <cx:minColor>
              <a:srgbClr val="FDCFA1"/>
            </cx:minColor>
            <cx:midColor>
              <a:schemeClr val="accent2">
                <a:lumMod val="50000"/>
              </a:schemeClr>
            </cx:midColor>
            <cx:maxColor>
              <a:srgbClr val="E97705"/>
            </cx:maxColor>
          </cx:valueColors>
          <cx:valueColorPositions count="3"/>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10949</xdr:colOff>
      <xdr:row>0</xdr:row>
      <xdr:rowOff>0</xdr:rowOff>
    </xdr:from>
    <xdr:to>
      <xdr:col>26</xdr:col>
      <xdr:colOff>10949</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37846" y="0"/>
          <a:ext cx="13313103" cy="8003190"/>
        </a:xfrm>
        <a:prstGeom prst="rect">
          <a:avLst/>
        </a:prstGeom>
        <a:solidFill>
          <a:schemeClr val="accent2">
            <a:lumMod val="20000"/>
            <a:lumOff val="80000"/>
          </a:schemeClr>
        </a:solidFill>
        <a:ln>
          <a:solidFill>
            <a:schemeClr val="tx1">
              <a:lumMod val="95000"/>
              <a:lumOff val="5000"/>
            </a:schemeClr>
          </a:solid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1200" cy="7863840"/>
        </a:xfrm>
        <a:prstGeom prst="rect">
          <a:avLst/>
        </a:prstGeom>
        <a:solidFill>
          <a:schemeClr val="accent2">
            <a:lumMod val="5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xdr:row>
      <xdr:rowOff>188383</xdr:rowOff>
    </xdr:from>
    <xdr:to>
      <xdr:col>1</xdr:col>
      <xdr:colOff>933450</xdr:colOff>
      <xdr:row>4</xdr:row>
      <xdr:rowOff>35983</xdr:rowOff>
    </xdr:to>
    <xdr:sp macro="" textlink="pivots!G4">
      <xdr:nvSpPr>
        <xdr:cNvPr id="5" name="TextBox 4">
          <a:extLst>
            <a:ext uri="{FF2B5EF4-FFF2-40B4-BE49-F238E27FC236}">
              <a16:creationId xmlns:a16="http://schemas.microsoft.com/office/drawing/2014/main" id="{697EDC81-5E69-1076-8D32-9ECF54BBCC14}"/>
            </a:ext>
          </a:extLst>
        </xdr:cNvPr>
        <xdr:cNvSpPr txBox="1"/>
      </xdr:nvSpPr>
      <xdr:spPr>
        <a:xfrm>
          <a:off x="0" y="378883"/>
          <a:ext cx="1152525" cy="4191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BB01D7-0D7F-4B69-926A-ED9C62D6E80E}" type="TxLink">
            <a:rPr lang="en-US" sz="1800" b="1" i="0" u="none" strike="noStrike">
              <a:solidFill>
                <a:schemeClr val="bg1"/>
              </a:solidFill>
              <a:effectLst>
                <a:outerShdw blurRad="50800" dist="38100" dir="2700000" algn="tl" rotWithShape="0">
                  <a:prstClr val="black">
                    <a:alpha val="40000"/>
                  </a:prstClr>
                </a:outerShdw>
              </a:effectLst>
              <a:latin typeface="Aptos Narrow"/>
            </a:rPr>
            <a:pPr/>
            <a:t>2,400</a:t>
          </a:fld>
          <a:endParaRPr lang="en-IN" sz="1800" b="1">
            <a:solidFill>
              <a:schemeClr val="bg1"/>
            </a:solidFill>
            <a:effectLst>
              <a:outerShdw blurRad="50800" dist="38100" dir="2700000" algn="tl" rotWithShape="0">
                <a:prstClr val="black">
                  <a:alpha val="40000"/>
                </a:prstClr>
              </a:outerShdw>
            </a:effectLst>
          </a:endParaRPr>
        </a:p>
      </xdr:txBody>
    </xdr:sp>
    <xdr:clientData/>
  </xdr:twoCellAnchor>
  <xdr:twoCellAnchor>
    <xdr:from>
      <xdr:col>0</xdr:col>
      <xdr:colOff>0</xdr:colOff>
      <xdr:row>5</xdr:row>
      <xdr:rowOff>174624</xdr:rowOff>
    </xdr:from>
    <xdr:to>
      <xdr:col>1</xdr:col>
      <xdr:colOff>933450</xdr:colOff>
      <xdr:row>8</xdr:row>
      <xdr:rowOff>22224</xdr:rowOff>
    </xdr:to>
    <xdr:sp macro="" textlink="pivots!H4">
      <xdr:nvSpPr>
        <xdr:cNvPr id="7" name="TextBox 6">
          <a:extLst>
            <a:ext uri="{FF2B5EF4-FFF2-40B4-BE49-F238E27FC236}">
              <a16:creationId xmlns:a16="http://schemas.microsoft.com/office/drawing/2014/main" id="{9CFF9874-8D1A-4CDB-85F7-B48CF39CF019}"/>
            </a:ext>
          </a:extLst>
        </xdr:cNvPr>
        <xdr:cNvSpPr txBox="1"/>
      </xdr:nvSpPr>
      <xdr:spPr>
        <a:xfrm>
          <a:off x="0" y="1127124"/>
          <a:ext cx="1152525" cy="4191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55F14E9-0AAB-48C6-B86E-12D15EC8551C}" type="TxLink">
            <a:rPr lang="en-US" sz="1800" b="1" i="0" u="none" strike="noStrike">
              <a:solidFill>
                <a:schemeClr val="bg1"/>
              </a:solidFill>
              <a:effectLst>
                <a:outerShdw blurRad="50800" dist="38100" dir="2700000" algn="tl" rotWithShape="0">
                  <a:prstClr val="black">
                    <a:alpha val="40000"/>
                  </a:prstClr>
                </a:outerShdw>
              </a:effectLst>
              <a:latin typeface="Aptos Narrow"/>
              <a:ea typeface="+mn-ea"/>
              <a:cs typeface="+mn-cs"/>
            </a:rPr>
            <a:pPr marL="0" indent="0"/>
            <a:t>11,997</a:t>
          </a:fld>
          <a:endParaRPr lang="en-IN" sz="1800" b="1" i="0" u="none" strike="noStrike">
            <a:solidFill>
              <a:schemeClr val="bg1"/>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0</xdr:colOff>
      <xdr:row>9</xdr:row>
      <xdr:rowOff>92767</xdr:rowOff>
    </xdr:from>
    <xdr:to>
      <xdr:col>1</xdr:col>
      <xdr:colOff>933450</xdr:colOff>
      <xdr:row>11</xdr:row>
      <xdr:rowOff>130867</xdr:rowOff>
    </xdr:to>
    <xdr:sp macro="" textlink="pivots!I4">
      <xdr:nvSpPr>
        <xdr:cNvPr id="8" name="TextBox 7">
          <a:extLst>
            <a:ext uri="{FF2B5EF4-FFF2-40B4-BE49-F238E27FC236}">
              <a16:creationId xmlns:a16="http://schemas.microsoft.com/office/drawing/2014/main" id="{F9D425B2-36ED-4B9D-9300-FBF0EFBA8091}"/>
            </a:ext>
          </a:extLst>
        </xdr:cNvPr>
        <xdr:cNvSpPr txBox="1"/>
      </xdr:nvSpPr>
      <xdr:spPr>
        <a:xfrm>
          <a:off x="0" y="1767853"/>
          <a:ext cx="1152416" cy="41034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692550-BF79-426E-8D74-44430605F24D}" type="TxLink">
            <a:rPr lang="en-US" sz="1800" b="1" i="0" u="none" strike="noStrike">
              <a:gradFill flip="none" rotWithShape="1">
                <a:gsLst>
                  <a:gs pos="100000">
                    <a:srgbClr val="FFD700">
                      <a:lumMod val="89000"/>
                      <a:lumOff val="11000"/>
                    </a:srgbClr>
                  </a:gs>
                  <a:gs pos="100000">
                    <a:schemeClr val="accent1">
                      <a:lumMod val="30000"/>
                      <a:lumOff val="70000"/>
                    </a:schemeClr>
                  </a:gs>
                </a:gsLst>
                <a:path path="shape">
                  <a:fillToRect l="50000" t="50000" r="50000" b="50000"/>
                </a:path>
                <a:tileRect/>
              </a:gradFill>
              <a:effectLst>
                <a:outerShdw blurRad="50800" dist="38100" dir="2700000" algn="tl" rotWithShape="0">
                  <a:prstClr val="black">
                    <a:alpha val="40000"/>
                  </a:prstClr>
                </a:outerShdw>
              </a:effectLst>
              <a:latin typeface="Aptos Narrow"/>
              <a:ea typeface="+mn-ea"/>
              <a:cs typeface="+mn-cs"/>
            </a:rPr>
            <a:pPr marL="0" indent="0"/>
            <a:t>$649.OK</a:t>
          </a:fld>
          <a:endParaRPr lang="en-IN" sz="1800" b="1" i="0" u="none" strike="noStrike">
            <a:gradFill flip="none" rotWithShape="1">
              <a:gsLst>
                <a:gs pos="100000">
                  <a:srgbClr val="FFD700">
                    <a:lumMod val="89000"/>
                    <a:lumOff val="11000"/>
                  </a:srgbClr>
                </a:gs>
                <a:gs pos="100000">
                  <a:schemeClr val="accent1">
                    <a:lumMod val="30000"/>
                    <a:lumOff val="70000"/>
                  </a:schemeClr>
                </a:gs>
              </a:gsLst>
              <a:path path="shape">
                <a:fillToRect l="50000" t="50000" r="50000" b="50000"/>
              </a:path>
              <a:tileRect/>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32844</xdr:colOff>
      <xdr:row>13</xdr:row>
      <xdr:rowOff>29960</xdr:rowOff>
    </xdr:from>
    <xdr:to>
      <xdr:col>1</xdr:col>
      <xdr:colOff>966294</xdr:colOff>
      <xdr:row>15</xdr:row>
      <xdr:rowOff>68060</xdr:rowOff>
    </xdr:to>
    <xdr:sp macro="" textlink="pivots!J4">
      <xdr:nvSpPr>
        <xdr:cNvPr id="9" name="TextBox 8">
          <a:extLst>
            <a:ext uri="{FF2B5EF4-FFF2-40B4-BE49-F238E27FC236}">
              <a16:creationId xmlns:a16="http://schemas.microsoft.com/office/drawing/2014/main" id="{B12427DD-8E88-45A9-8B48-9ECF8CC0DEE5}"/>
            </a:ext>
          </a:extLst>
        </xdr:cNvPr>
        <xdr:cNvSpPr txBox="1"/>
      </xdr:nvSpPr>
      <xdr:spPr>
        <a:xfrm>
          <a:off x="32844" y="2449529"/>
          <a:ext cx="1152416" cy="41034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1F0BC1B-500D-4815-B8BB-39364A00B739}" type="TxLink">
            <a:rPr lang="en-US" sz="1800" b="1" i="0" u="none" strike="noStrike">
              <a:solidFill>
                <a:schemeClr val="bg1"/>
              </a:solidFill>
              <a:effectLst>
                <a:outerShdw blurRad="50800" dist="38100" dir="2700000" algn="tl" rotWithShape="0">
                  <a:prstClr val="black">
                    <a:alpha val="40000"/>
                  </a:prstClr>
                </a:outerShdw>
              </a:effectLst>
              <a:latin typeface="Aptos Narrow"/>
              <a:ea typeface="+mn-ea"/>
              <a:cs typeface="+mn-cs"/>
            </a:rPr>
            <a:pPr marL="0" indent="0"/>
            <a:t>4.0</a:t>
          </a:fld>
          <a:endParaRPr lang="en-IN" sz="1800" b="1" i="0" u="none" strike="noStrike">
            <a:solidFill>
              <a:schemeClr val="bg1"/>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54740</xdr:colOff>
      <xdr:row>17</xdr:row>
      <xdr:rowOff>8103</xdr:rowOff>
    </xdr:from>
    <xdr:to>
      <xdr:col>1</xdr:col>
      <xdr:colOff>988190</xdr:colOff>
      <xdr:row>19</xdr:row>
      <xdr:rowOff>46203</xdr:rowOff>
    </xdr:to>
    <xdr:sp macro="" textlink="pivots!K4">
      <xdr:nvSpPr>
        <xdr:cNvPr id="10" name="TextBox 9">
          <a:extLst>
            <a:ext uri="{FF2B5EF4-FFF2-40B4-BE49-F238E27FC236}">
              <a16:creationId xmlns:a16="http://schemas.microsoft.com/office/drawing/2014/main" id="{365BEA4A-AC5D-4766-85C5-45504C6E38EE}"/>
            </a:ext>
          </a:extLst>
        </xdr:cNvPr>
        <xdr:cNvSpPr txBox="1"/>
      </xdr:nvSpPr>
      <xdr:spPr>
        <a:xfrm>
          <a:off x="54740" y="3172155"/>
          <a:ext cx="1152416" cy="41034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18BE50B-45F3-4094-952B-CEF4DFB8A402}" type="TxLink">
            <a:rPr lang="en-US" sz="1800" b="1" i="0" u="none" strike="noStrike">
              <a:solidFill>
                <a:schemeClr val="bg1"/>
              </a:solidFill>
              <a:effectLst>
                <a:outerShdw blurRad="50800" dist="38100" dir="2700000" algn="tl" rotWithShape="0">
                  <a:prstClr val="black">
                    <a:alpha val="40000"/>
                  </a:prstClr>
                </a:outerShdw>
              </a:effectLst>
              <a:latin typeface="Aptos Narrow"/>
              <a:ea typeface="+mn-ea"/>
              <a:cs typeface="+mn-cs"/>
            </a:rPr>
            <a:pPr marL="0" indent="0"/>
            <a:t>2.3</a:t>
          </a:fld>
          <a:endParaRPr lang="en-IN" sz="1800" b="1" i="0" u="none" strike="noStrike">
            <a:solidFill>
              <a:schemeClr val="bg1"/>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0</xdr:colOff>
      <xdr:row>0</xdr:row>
      <xdr:rowOff>133350</xdr:rowOff>
    </xdr:from>
    <xdr:to>
      <xdr:col>1</xdr:col>
      <xdr:colOff>657225</xdr:colOff>
      <xdr:row>2</xdr:row>
      <xdr:rowOff>95250</xdr:rowOff>
    </xdr:to>
    <xdr:sp macro="" textlink="">
      <xdr:nvSpPr>
        <xdr:cNvPr id="30" name="TextBox 29">
          <a:extLst>
            <a:ext uri="{FF2B5EF4-FFF2-40B4-BE49-F238E27FC236}">
              <a16:creationId xmlns:a16="http://schemas.microsoft.com/office/drawing/2014/main" id="{295E4EA0-17C1-5A73-7F5C-1AC608078672}"/>
            </a:ext>
          </a:extLst>
        </xdr:cNvPr>
        <xdr:cNvSpPr txBox="1"/>
      </xdr:nvSpPr>
      <xdr:spPr>
        <a:xfrm>
          <a:off x="0" y="133350"/>
          <a:ext cx="876300" cy="3429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effectLst>
                <a:outerShdw blurRad="50800" dist="38100" dir="2700000" algn="tl" rotWithShape="0">
                  <a:prstClr val="black">
                    <a:alpha val="40000"/>
                  </a:prstClr>
                </a:outerShdw>
              </a:effectLst>
            </a:rPr>
            <a:t>🛒</a:t>
          </a:r>
          <a:r>
            <a:rPr lang="en-IN" sz="1200" b="1">
              <a:solidFill>
                <a:schemeClr val="bg1"/>
              </a:solidFill>
              <a:effectLst>
                <a:outerShdw blurRad="50800" dist="38100" dir="2700000" algn="tl" rotWithShape="0">
                  <a:prstClr val="black">
                    <a:alpha val="40000"/>
                  </a:prstClr>
                </a:outerShdw>
              </a:effectLst>
            </a:rPr>
            <a:t>Orders</a:t>
          </a:r>
        </a:p>
      </xdr:txBody>
    </xdr:sp>
    <xdr:clientData/>
  </xdr:twoCellAnchor>
  <xdr:twoCellAnchor>
    <xdr:from>
      <xdr:col>0</xdr:col>
      <xdr:colOff>0</xdr:colOff>
      <xdr:row>4</xdr:row>
      <xdr:rowOff>129116</xdr:rowOff>
    </xdr:from>
    <xdr:to>
      <xdr:col>1</xdr:col>
      <xdr:colOff>790575</xdr:colOff>
      <xdr:row>6</xdr:row>
      <xdr:rowOff>43391</xdr:rowOff>
    </xdr:to>
    <xdr:sp macro="" textlink="">
      <xdr:nvSpPr>
        <xdr:cNvPr id="31" name="TextBox 30">
          <a:extLst>
            <a:ext uri="{FF2B5EF4-FFF2-40B4-BE49-F238E27FC236}">
              <a16:creationId xmlns:a16="http://schemas.microsoft.com/office/drawing/2014/main" id="{D31CD768-4F67-4726-BA84-CEB64A87B90D}"/>
            </a:ext>
          </a:extLst>
        </xdr:cNvPr>
        <xdr:cNvSpPr txBox="1"/>
      </xdr:nvSpPr>
      <xdr:spPr>
        <a:xfrm>
          <a:off x="0" y="891116"/>
          <a:ext cx="1009650" cy="29527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effectLst>
                <a:outerShdw blurRad="50800" dist="38100" dir="2700000" algn="tl" rotWithShape="0">
                  <a:prstClr val="black">
                    <a:alpha val="40000"/>
                  </a:prstClr>
                </a:outerShdw>
              </a:effectLst>
            </a:rPr>
            <a:t>👔</a:t>
          </a:r>
          <a:r>
            <a:rPr lang="en-IN" sz="1200" b="1">
              <a:solidFill>
                <a:schemeClr val="bg1"/>
              </a:solidFill>
              <a:effectLst>
                <a:outerShdw blurRad="50800" dist="38100" dir="2700000" algn="tl" rotWithShape="0">
                  <a:prstClr val="black">
                    <a:alpha val="40000"/>
                  </a:prstClr>
                </a:outerShdw>
              </a:effectLst>
            </a:rPr>
            <a:t>Quantity</a:t>
          </a:r>
        </a:p>
      </xdr:txBody>
    </xdr:sp>
    <xdr:clientData/>
  </xdr:twoCellAnchor>
  <xdr:twoCellAnchor>
    <xdr:from>
      <xdr:col>0</xdr:col>
      <xdr:colOff>0</xdr:colOff>
      <xdr:row>8</xdr:row>
      <xdr:rowOff>77257</xdr:rowOff>
    </xdr:from>
    <xdr:to>
      <xdr:col>1</xdr:col>
      <xdr:colOff>790575</xdr:colOff>
      <xdr:row>9</xdr:row>
      <xdr:rowOff>182032</xdr:rowOff>
    </xdr:to>
    <xdr:sp macro="" textlink="">
      <xdr:nvSpPr>
        <xdr:cNvPr id="32" name="TextBox 31">
          <a:extLst>
            <a:ext uri="{FF2B5EF4-FFF2-40B4-BE49-F238E27FC236}">
              <a16:creationId xmlns:a16="http://schemas.microsoft.com/office/drawing/2014/main" id="{20A1CB69-4C36-49DA-85E7-0EB8DE48605F}"/>
            </a:ext>
          </a:extLst>
        </xdr:cNvPr>
        <xdr:cNvSpPr txBox="1"/>
      </xdr:nvSpPr>
      <xdr:spPr>
        <a:xfrm>
          <a:off x="0" y="1601257"/>
          <a:ext cx="1009650" cy="29527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effectLst>
                <a:outerShdw blurRad="50800" dist="38100" dir="2700000" algn="tl" rotWithShape="0">
                  <a:prstClr val="black">
                    <a:alpha val="40000"/>
                  </a:prstClr>
                </a:outerShdw>
              </a:effectLst>
            </a:rPr>
            <a:t>💰</a:t>
          </a:r>
          <a:r>
            <a:rPr lang="en-IN" sz="1200" b="1">
              <a:solidFill>
                <a:schemeClr val="bg1"/>
              </a:solidFill>
              <a:effectLst>
                <a:outerShdw blurRad="50800" dist="38100" dir="2700000" algn="tl" rotWithShape="0">
                  <a:prstClr val="black">
                    <a:alpha val="40000"/>
                  </a:prstClr>
                </a:outerShdw>
              </a:effectLst>
            </a:rPr>
            <a:t>Amount</a:t>
          </a:r>
        </a:p>
      </xdr:txBody>
    </xdr:sp>
    <xdr:clientData/>
  </xdr:twoCellAnchor>
  <xdr:twoCellAnchor>
    <xdr:from>
      <xdr:col>0</xdr:col>
      <xdr:colOff>0</xdr:colOff>
      <xdr:row>12</xdr:row>
      <xdr:rowOff>25398</xdr:rowOff>
    </xdr:from>
    <xdr:to>
      <xdr:col>1</xdr:col>
      <xdr:colOff>1029137</xdr:colOff>
      <xdr:row>13</xdr:row>
      <xdr:rowOff>130173</xdr:rowOff>
    </xdr:to>
    <xdr:sp macro="" textlink="">
      <xdr:nvSpPr>
        <xdr:cNvPr id="33" name="TextBox 32">
          <a:extLst>
            <a:ext uri="{FF2B5EF4-FFF2-40B4-BE49-F238E27FC236}">
              <a16:creationId xmlns:a16="http://schemas.microsoft.com/office/drawing/2014/main" id="{A4B33E2A-C16D-4C10-9006-81AB89CBAD72}"/>
            </a:ext>
          </a:extLst>
        </xdr:cNvPr>
        <xdr:cNvSpPr txBox="1"/>
      </xdr:nvSpPr>
      <xdr:spPr>
        <a:xfrm>
          <a:off x="0" y="2258846"/>
          <a:ext cx="1248103" cy="29089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effectLst>
                <a:outerShdw blurRad="50800" dist="38100" dir="2700000" algn="tl" rotWithShape="0">
                  <a:prstClr val="black">
                    <a:alpha val="40000"/>
                  </a:prstClr>
                </a:outerShdw>
              </a:effectLst>
            </a:rPr>
            <a:t>⭐</a:t>
          </a:r>
          <a:r>
            <a:rPr lang="en-IN" sz="1200" b="1">
              <a:solidFill>
                <a:schemeClr val="bg1"/>
              </a:solidFill>
              <a:effectLst>
                <a:outerShdw blurRad="50800" dist="38100" dir="2700000" algn="tl" rotWithShape="0">
                  <a:prstClr val="black">
                    <a:alpha val="40000"/>
                  </a:prstClr>
                </a:outerShdw>
              </a:effectLst>
            </a:rPr>
            <a:t>Avg</a:t>
          </a:r>
          <a:r>
            <a:rPr lang="en-IN" sz="1200">
              <a:solidFill>
                <a:schemeClr val="bg1"/>
              </a:solidFill>
              <a:effectLst>
                <a:outerShdw blurRad="50800" dist="38100" dir="2700000" algn="tl" rotWithShape="0">
                  <a:prstClr val="black">
                    <a:alpha val="40000"/>
                  </a:prstClr>
                </a:outerShdw>
              </a:effectLst>
            </a:rPr>
            <a:t>.</a:t>
          </a:r>
          <a:r>
            <a:rPr lang="en-IN" sz="1200" b="1">
              <a:solidFill>
                <a:schemeClr val="bg1"/>
              </a:solidFill>
              <a:effectLst>
                <a:outerShdw blurRad="50800" dist="38100" dir="2700000" algn="tl" rotWithShape="0">
                  <a:prstClr val="black">
                    <a:alpha val="40000"/>
                  </a:prstClr>
                </a:outerShdw>
              </a:effectLst>
            </a:rPr>
            <a:t>Rating</a:t>
          </a:r>
        </a:p>
      </xdr:txBody>
    </xdr:sp>
    <xdr:clientData/>
  </xdr:twoCellAnchor>
  <xdr:twoCellAnchor>
    <xdr:from>
      <xdr:col>0</xdr:col>
      <xdr:colOff>0</xdr:colOff>
      <xdr:row>15</xdr:row>
      <xdr:rowOff>164039</xdr:rowOff>
    </xdr:from>
    <xdr:to>
      <xdr:col>1</xdr:col>
      <xdr:colOff>1313792</xdr:colOff>
      <xdr:row>17</xdr:row>
      <xdr:rowOff>78314</xdr:rowOff>
    </xdr:to>
    <xdr:sp macro="" textlink="">
      <xdr:nvSpPr>
        <xdr:cNvPr id="34" name="TextBox 33">
          <a:extLst>
            <a:ext uri="{FF2B5EF4-FFF2-40B4-BE49-F238E27FC236}">
              <a16:creationId xmlns:a16="http://schemas.microsoft.com/office/drawing/2014/main" id="{606F1ACC-E5C3-4E06-953C-139F2CE7D3B3}"/>
            </a:ext>
          </a:extLst>
        </xdr:cNvPr>
        <xdr:cNvSpPr txBox="1"/>
      </xdr:nvSpPr>
      <xdr:spPr>
        <a:xfrm>
          <a:off x="0" y="2955849"/>
          <a:ext cx="1532758" cy="28651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effectLst>
                <a:outerShdw blurRad="50800" dist="38100" dir="2700000" algn="tl" rotWithShape="0">
                  <a:prstClr val="black">
                    <a:alpha val="40000"/>
                  </a:prstClr>
                </a:outerShdw>
              </a:effectLst>
            </a:rPr>
            <a:t>📆 </a:t>
          </a:r>
          <a:r>
            <a:rPr lang="en-IN" sz="1200" b="1">
              <a:solidFill>
                <a:schemeClr val="bg1"/>
              </a:solidFill>
              <a:effectLst>
                <a:outerShdw blurRad="50800" dist="38100" dir="2700000" algn="tl" rotWithShape="0">
                  <a:prstClr val="black">
                    <a:alpha val="40000"/>
                  </a:prstClr>
                </a:outerShdw>
              </a:effectLst>
            </a:rPr>
            <a:t>Days to Deliver</a:t>
          </a:r>
        </a:p>
      </xdr:txBody>
    </xdr:sp>
    <xdr:clientData/>
  </xdr:twoCellAnchor>
  <xdr:twoCellAnchor>
    <xdr:from>
      <xdr:col>4</xdr:col>
      <xdr:colOff>46203</xdr:colOff>
      <xdr:row>1</xdr:row>
      <xdr:rowOff>131379</xdr:rowOff>
    </xdr:from>
    <xdr:to>
      <xdr:col>9</xdr:col>
      <xdr:colOff>514569</xdr:colOff>
      <xdr:row>17</xdr:row>
      <xdr:rowOff>97659</xdr:rowOff>
    </xdr:to>
    <xdr:graphicFrame macro="">
      <xdr:nvGraphicFramePr>
        <xdr:cNvPr id="35" name="Chart 34">
          <a:extLst>
            <a:ext uri="{FF2B5EF4-FFF2-40B4-BE49-F238E27FC236}">
              <a16:creationId xmlns:a16="http://schemas.microsoft.com/office/drawing/2014/main" id="{B28E840B-08EF-4913-9A7B-D2EC1331C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110031</xdr:colOff>
      <xdr:row>1</xdr:row>
      <xdr:rowOff>153276</xdr:rowOff>
    </xdr:from>
    <xdr:to>
      <xdr:col>16</xdr:col>
      <xdr:colOff>448881</xdr:colOff>
      <xdr:row>17</xdr:row>
      <xdr:rowOff>21896</xdr:rowOff>
    </xdr:to>
    <xdr:sp macro="" textlink="">
      <xdr:nvSpPr>
        <xdr:cNvPr id="40" name="Rectangle 39">
          <a:extLst>
            <a:ext uri="{FF2B5EF4-FFF2-40B4-BE49-F238E27FC236}">
              <a16:creationId xmlns:a16="http://schemas.microsoft.com/office/drawing/2014/main" id="{D2C6587D-73BE-B8FE-4703-3FB511DD69DC}"/>
            </a:ext>
          </a:extLst>
        </xdr:cNvPr>
        <xdr:cNvSpPr/>
      </xdr:nvSpPr>
      <xdr:spPr>
        <a:xfrm>
          <a:off x="5934514" y="339397"/>
          <a:ext cx="4017470" cy="284655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baseline="0">
            <a:latin typeface="+mj-lt"/>
          </a:endParaRPr>
        </a:p>
        <a:p>
          <a:pPr algn="ctr"/>
          <a:r>
            <a:rPr lang="en-IN" sz="1100" b="1" baseline="0">
              <a:latin typeface="+mj-lt"/>
            </a:rPr>
            <a:t>      </a:t>
          </a:r>
          <a:r>
            <a:rPr lang="en-IN" sz="1400" b="1" baseline="0">
              <a:solidFill>
                <a:schemeClr val="tx1"/>
              </a:solidFill>
              <a:latin typeface="+mj-lt"/>
            </a:rPr>
            <a:t>How they like to buy ?</a:t>
          </a:r>
          <a:endParaRPr lang="en-IN" sz="1400" b="1">
            <a:latin typeface="+mj-lt"/>
          </a:endParaRPr>
        </a:p>
      </xdr:txBody>
    </xdr:sp>
    <xdr:clientData/>
  </xdr:twoCellAnchor>
  <mc:AlternateContent xmlns:mc="http://schemas.openxmlformats.org/markup-compatibility/2006">
    <mc:Choice xmlns:a14="http://schemas.microsoft.com/office/drawing/2010/main" Requires="a14">
      <xdr:twoCellAnchor editAs="oneCell">
        <xdr:from>
          <xdr:col>10</xdr:col>
          <xdr:colOff>306552</xdr:colOff>
          <xdr:row>4</xdr:row>
          <xdr:rowOff>177583</xdr:rowOff>
        </xdr:from>
        <xdr:to>
          <xdr:col>16</xdr:col>
          <xdr:colOff>262760</xdr:colOff>
          <xdr:row>14</xdr:row>
          <xdr:rowOff>186119</xdr:rowOff>
        </xdr:to>
        <xdr:pic>
          <xdr:nvPicPr>
            <xdr:cNvPr id="37" name="Picture 36">
              <a:extLst>
                <a:ext uri="{FF2B5EF4-FFF2-40B4-BE49-F238E27FC236}">
                  <a16:creationId xmlns:a16="http://schemas.microsoft.com/office/drawing/2014/main" id="{03A6516C-3683-FDD4-36FF-EA0F81D15A1F}"/>
                </a:ext>
              </a:extLst>
            </xdr:cNvPr>
            <xdr:cNvPicPr>
              <a:picLocks noChangeAspect="1" noChangeArrowheads="1"/>
              <a:extLst>
                <a:ext uri="{84589F7E-364E-4C9E-8A38-B11213B215E9}">
                  <a14:cameraTool cellRange="pivots1!$H$4:$L$9" spid="_x0000_s1094"/>
                </a:ext>
              </a:extLst>
            </xdr:cNvPicPr>
          </xdr:nvPicPr>
          <xdr:blipFill>
            <a:blip xmlns:r="http://schemas.openxmlformats.org/officeDocument/2006/relationships" r:embed="rId2"/>
            <a:stretch>
              <a:fillRect/>
            </a:stretch>
          </xdr:blipFill>
          <xdr:spPr bwMode="auto">
            <a:xfrm>
              <a:off x="6131035" y="922066"/>
              <a:ext cx="3634828" cy="1869743"/>
            </a:xfrm>
            <a:prstGeom prst="rect">
              <a:avLst/>
            </a:prstGeom>
            <a:noFill/>
          </xdr:spPr>
        </xdr:pic>
        <xdr:clientData/>
      </xdr:twoCellAnchor>
    </mc:Choice>
    <mc:Fallback/>
  </mc:AlternateContent>
  <xdr:twoCellAnchor>
    <xdr:from>
      <xdr:col>17</xdr:col>
      <xdr:colOff>126779</xdr:colOff>
      <xdr:row>2</xdr:row>
      <xdr:rowOff>6679</xdr:rowOff>
    </xdr:from>
    <xdr:to>
      <xdr:col>24</xdr:col>
      <xdr:colOff>273706</xdr:colOff>
      <xdr:row>14</xdr:row>
      <xdr:rowOff>101928</xdr:rowOff>
    </xdr:to>
    <xdr:graphicFrame macro="">
      <xdr:nvGraphicFramePr>
        <xdr:cNvPr id="41" name="Chart 40">
          <a:extLst>
            <a:ext uri="{FF2B5EF4-FFF2-40B4-BE49-F238E27FC236}">
              <a16:creationId xmlns:a16="http://schemas.microsoft.com/office/drawing/2014/main" id="{60CC1CB1-2363-4551-BF95-2927C7218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24853</xdr:colOff>
      <xdr:row>18</xdr:row>
      <xdr:rowOff>163785</xdr:rowOff>
    </xdr:from>
    <xdr:to>
      <xdr:col>9</xdr:col>
      <xdr:colOff>520043</xdr:colOff>
      <xdr:row>40</xdr:row>
      <xdr:rowOff>6240</xdr:rowOff>
    </xdr:to>
    <xdr:graphicFrame macro="">
      <xdr:nvGraphicFramePr>
        <xdr:cNvPr id="42" name="Chart 41">
          <a:extLst>
            <a:ext uri="{FF2B5EF4-FFF2-40B4-BE49-F238E27FC236}">
              <a16:creationId xmlns:a16="http://schemas.microsoft.com/office/drawing/2014/main" id="{5BA825C1-6CFE-43D6-8DD9-C10993242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195755</xdr:colOff>
      <xdr:row>31</xdr:row>
      <xdr:rowOff>21897</xdr:rowOff>
    </xdr:from>
    <xdr:to>
      <xdr:col>7</xdr:col>
      <xdr:colOff>459829</xdr:colOff>
      <xdr:row>37</xdr:row>
      <xdr:rowOff>164224</xdr:rowOff>
    </xdr:to>
    <xdr:graphicFrame macro="">
      <xdr:nvGraphicFramePr>
        <xdr:cNvPr id="43" name="Chart 42">
          <a:extLst>
            <a:ext uri="{FF2B5EF4-FFF2-40B4-BE49-F238E27FC236}">
              <a16:creationId xmlns:a16="http://schemas.microsoft.com/office/drawing/2014/main" id="{41EE8949-276E-4563-846F-2503F85B0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120541</xdr:colOff>
      <xdr:row>18</xdr:row>
      <xdr:rowOff>155684</xdr:rowOff>
    </xdr:from>
    <xdr:to>
      <xdr:col>16</xdr:col>
      <xdr:colOff>448881</xdr:colOff>
      <xdr:row>39</xdr:row>
      <xdr:rowOff>174734</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878C837D-3508-4649-80E6-4218A37DAA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945024" y="3505856"/>
              <a:ext cx="4006960" cy="39275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129188</xdr:colOff>
      <xdr:row>16</xdr:row>
      <xdr:rowOff>10949</xdr:rowOff>
    </xdr:from>
    <xdr:to>
      <xdr:col>24</xdr:col>
      <xdr:colOff>251809</xdr:colOff>
      <xdr:row>26</xdr:row>
      <xdr:rowOff>39523</xdr:rowOff>
    </xdr:to>
    <xdr:graphicFrame macro="">
      <xdr:nvGraphicFramePr>
        <xdr:cNvPr id="11" name="Chart 10">
          <a:extLst>
            <a:ext uri="{FF2B5EF4-FFF2-40B4-BE49-F238E27FC236}">
              <a16:creationId xmlns:a16="http://schemas.microsoft.com/office/drawing/2014/main" id="{8C1BCB2C-A020-4F5C-B94F-4466C1F74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148241</xdr:colOff>
      <xdr:row>27</xdr:row>
      <xdr:rowOff>130503</xdr:rowOff>
    </xdr:from>
    <xdr:to>
      <xdr:col>24</xdr:col>
      <xdr:colOff>284655</xdr:colOff>
      <xdr:row>39</xdr:row>
      <xdr:rowOff>44780</xdr:rowOff>
    </xdr:to>
    <xdr:graphicFrame macro="">
      <xdr:nvGraphicFramePr>
        <xdr:cNvPr id="12" name="Chart 11">
          <a:extLst>
            <a:ext uri="{FF2B5EF4-FFF2-40B4-BE49-F238E27FC236}">
              <a16:creationId xmlns:a16="http://schemas.microsoft.com/office/drawing/2014/main" id="{7E4FC3AC-B3BA-4626-A426-5FA6C72AC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109045</xdr:colOff>
      <xdr:row>19</xdr:row>
      <xdr:rowOff>178566</xdr:rowOff>
    </xdr:from>
    <xdr:to>
      <xdr:col>2</xdr:col>
      <xdr:colOff>142328</xdr:colOff>
      <xdr:row>29</xdr:row>
      <xdr:rowOff>109483</xdr:rowOff>
    </xdr:to>
    <mc:AlternateContent xmlns:mc="http://schemas.openxmlformats.org/markup-compatibility/2006">
      <mc:Choice xmlns:a14="http://schemas.microsoft.com/office/drawing/2010/main" Requires="a14">
        <xdr:graphicFrame macro="">
          <xdr:nvGraphicFramePr>
            <xdr:cNvPr id="13" name="Gender Value">
              <a:extLst>
                <a:ext uri="{FF2B5EF4-FFF2-40B4-BE49-F238E27FC236}">
                  <a16:creationId xmlns:a16="http://schemas.microsoft.com/office/drawing/2014/main" id="{9CC60178-1FC7-43A5-9BE6-96D576BA87FB}"/>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09045" y="3714859"/>
              <a:ext cx="1741214" cy="1792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105213</xdr:colOff>
      <xdr:row>30</xdr:row>
      <xdr:rowOff>53318</xdr:rowOff>
    </xdr:from>
    <xdr:to>
      <xdr:col>2</xdr:col>
      <xdr:colOff>142328</xdr:colOff>
      <xdr:row>40</xdr:row>
      <xdr:rowOff>32844</xdr:rowOff>
    </xdr:to>
    <mc:AlternateContent xmlns:mc="http://schemas.openxmlformats.org/markup-compatibility/2006">
      <mc:Choice xmlns:a14="http://schemas.microsoft.com/office/drawing/2010/main" Requires="a14">
        <xdr:graphicFrame macro="">
          <xdr:nvGraphicFramePr>
            <xdr:cNvPr id="15" name="Order Mode">
              <a:extLst>
                <a:ext uri="{FF2B5EF4-FFF2-40B4-BE49-F238E27FC236}">
                  <a16:creationId xmlns:a16="http://schemas.microsoft.com/office/drawing/2014/main" id="{B1F467EC-EF87-483F-ABCA-D765163E3A42}"/>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05213" y="5636939"/>
              <a:ext cx="1745046" cy="1840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u" refreshedDate="46112.578471180554" createdVersion="8" refreshedVersion="8" minRefreshableVersion="3" recordCount="2400" xr:uid="{69232683-F80B-463D-A61A-56F212544C91}">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6357113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23212E-F87A-4240-9FF8-568450BE67AF}" name="Pvt Rating"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2">
  <location ref="A163:G168" firstHeaderRow="1" firstDataRow="2"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h="1" x="2"/>
        <item x="1"/>
        <item h="1" x="3"/>
        <item x="0"/>
        <item t="default"/>
      </items>
    </pivotField>
    <pivotField showAll="0">
      <items count="8">
        <item x="0"/>
        <item x="1"/>
        <item x="2"/>
        <item x="4"/>
        <item x="3"/>
        <item n="6 to 10" x="5"/>
        <item n="More than 10"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8">
    <chartFormat chart="77" format="6" series="1">
      <pivotArea type="data" outline="0" fieldPosition="0">
        <references count="2">
          <reference field="4294967294" count="1" selected="0">
            <x v="0"/>
          </reference>
          <reference field="17" count="1" selected="0">
            <x v="1"/>
          </reference>
        </references>
      </pivotArea>
    </chartFormat>
    <chartFormat chart="77" format="7" series="1">
      <pivotArea type="data" outline="0" fieldPosition="0">
        <references count="2">
          <reference field="4294967294" count="1" selected="0">
            <x v="0"/>
          </reference>
          <reference field="17" count="1" selected="0">
            <x v="2"/>
          </reference>
        </references>
      </pivotArea>
    </chartFormat>
    <chartFormat chart="77" format="8" series="1">
      <pivotArea type="data" outline="0" fieldPosition="0">
        <references count="2">
          <reference field="4294967294" count="1" selected="0">
            <x v="0"/>
          </reference>
          <reference field="17" count="1" selected="0">
            <x v="3"/>
          </reference>
        </references>
      </pivotArea>
    </chartFormat>
    <chartFormat chart="77" format="9" series="1">
      <pivotArea type="data" outline="0" fieldPosition="0">
        <references count="1">
          <reference field="4294967294" count="1" selected="0">
            <x v="0"/>
          </reference>
        </references>
      </pivotArea>
    </chartFormat>
    <chartFormat chart="77" format="10" series="1">
      <pivotArea type="data" outline="0" fieldPosition="0">
        <references count="2">
          <reference field="4294967294" count="1" selected="0">
            <x v="0"/>
          </reference>
          <reference field="9" count="1" selected="0">
            <x v="1"/>
          </reference>
        </references>
      </pivotArea>
    </chartFormat>
    <chartFormat chart="77" format="11" series="1">
      <pivotArea type="data" outline="0" fieldPosition="0">
        <references count="2">
          <reference field="4294967294" count="1" selected="0">
            <x v="0"/>
          </reference>
          <reference field="9" count="1" selected="0">
            <x v="2"/>
          </reference>
        </references>
      </pivotArea>
    </chartFormat>
    <chartFormat chart="77" format="12" series="1">
      <pivotArea type="data" outline="0" fieldPosition="0">
        <references count="2">
          <reference field="4294967294" count="1" selected="0">
            <x v="0"/>
          </reference>
          <reference field="9" count="1" selected="0">
            <x v="3"/>
          </reference>
        </references>
      </pivotArea>
    </chartFormat>
    <chartFormat chart="77" format="13"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343554-FA78-4BE9-B3C1-73FE7EF97BA4}" name="Pvt Duration"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A141:B156" firstHeaderRow="1" firstDataRow="1"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h="1" x="2"/>
        <item x="1"/>
        <item h="1"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5">
    <i>
      <x/>
    </i>
    <i>
      <x v="1"/>
    </i>
    <i>
      <x v="2"/>
    </i>
    <i>
      <x v="3"/>
    </i>
    <i>
      <x v="4"/>
    </i>
    <i>
      <x v="5"/>
    </i>
    <i>
      <x v="6"/>
    </i>
    <i>
      <x v="7"/>
    </i>
    <i>
      <x v="8"/>
    </i>
    <i>
      <x v="9"/>
    </i>
    <i>
      <x v="10"/>
    </i>
    <i>
      <x v="11"/>
    </i>
    <i>
      <x v="12"/>
    </i>
    <i>
      <x v="14"/>
    </i>
    <i t="grand">
      <x/>
    </i>
  </rowItems>
  <colItems count="1">
    <i/>
  </colItems>
  <dataFields count="1">
    <dataField name="Count of TX ID" fld="0" subtotal="count" baseField="0" baseItem="0"/>
  </dataFields>
  <chartFormats count="1">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8797F3-88F4-465A-83D1-85D58C3BE1C1}" name="Pvt Maps"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7">
  <location ref="A77:D127"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h="1" x="2"/>
        <item x="1"/>
        <item h="1"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0">
    <i>
      <x/>
      <x/>
    </i>
    <i r="1">
      <x v="1"/>
    </i>
    <i r="1">
      <x v="2"/>
    </i>
    <i r="1">
      <x v="3"/>
    </i>
    <i r="1">
      <x v="4"/>
    </i>
    <i r="1">
      <x v="5"/>
    </i>
    <i r="1">
      <x v="6"/>
    </i>
    <i r="1">
      <x v="7"/>
    </i>
    <i r="1">
      <x v="8"/>
    </i>
    <i r="1">
      <x v="9"/>
    </i>
    <i r="1">
      <x v="10"/>
    </i>
    <i r="1">
      <x v="11"/>
    </i>
    <i r="1">
      <x v="12"/>
    </i>
    <i r="1">
      <x v="13"/>
    </i>
    <i r="1">
      <x v="14"/>
    </i>
    <i r="1">
      <x v="15"/>
    </i>
    <i r="1">
      <x v="16"/>
    </i>
    <i r="1">
      <x v="17"/>
    </i>
    <i r="1">
      <x v="18"/>
    </i>
    <i r="1">
      <x v="19"/>
    </i>
    <i r="1">
      <x v="20"/>
    </i>
    <i r="1">
      <x v="23"/>
    </i>
    <i r="1">
      <x v="26"/>
    </i>
    <i r="1">
      <x v="27"/>
    </i>
    <i r="1">
      <x v="28"/>
    </i>
    <i r="1">
      <x v="29"/>
    </i>
    <i r="1">
      <x v="30"/>
    </i>
    <i r="1">
      <x v="31"/>
    </i>
    <i r="1">
      <x v="32"/>
    </i>
    <i r="1">
      <x v="33"/>
    </i>
    <i r="1">
      <x v="34"/>
    </i>
    <i r="1">
      <x v="35"/>
    </i>
    <i r="1">
      <x v="36"/>
    </i>
    <i r="1">
      <x v="37"/>
    </i>
    <i r="1">
      <x v="38"/>
    </i>
    <i r="1">
      <x v="40"/>
    </i>
    <i r="1">
      <x v="41"/>
    </i>
    <i r="1">
      <x v="42"/>
    </i>
    <i r="1">
      <x v="43"/>
    </i>
    <i r="1">
      <x v="44"/>
    </i>
    <i r="1">
      <x v="46"/>
    </i>
    <i r="1">
      <x v="47"/>
    </i>
    <i r="1">
      <x v="48"/>
    </i>
    <i r="1">
      <x v="49"/>
    </i>
    <i r="1">
      <x v="50"/>
    </i>
    <i r="1">
      <x v="51"/>
    </i>
    <i r="1">
      <x v="53"/>
    </i>
    <i r="1">
      <x v="54"/>
    </i>
    <i r="1">
      <x v="55"/>
    </i>
    <i r="1">
      <x v="56"/>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443F00-90AD-4A80-9A6D-8DA2731781CD}" name="Pvt order analysi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7:B45"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h="1" x="2"/>
        <item x="1"/>
        <item h="1"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E37474-DCA3-4E48-9E3F-AB63C58B6515}" name="pvt treand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2:C26"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h="1" x="2"/>
        <item x="1"/>
        <item h="1"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2D1782-8782-4E93-89D3-AE5D6F223539}" name="Pvt summary"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AFBA1E-E3FC-479D-AE47-0B6F0D02BBE5}" name="Pvt Gender"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J49:K52"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h="1" x="2"/>
        <item x="1"/>
        <item h="1"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3">
    <i>
      <x v="1"/>
    </i>
    <i>
      <x v="3"/>
    </i>
    <i t="grand">
      <x/>
    </i>
  </rowItems>
  <colItems count="1">
    <i/>
  </colItems>
  <dataFields count="1">
    <dataField name="Sum of Quantity" fld="2" baseField="0" baseItem="0"/>
  </dataFields>
  <chartFormats count="19">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2">
          <reference field="4294967294" count="1" selected="0">
            <x v="0"/>
          </reference>
          <reference field="14" count="1" selected="0">
            <x v="1"/>
          </reference>
        </references>
      </pivotArea>
    </chartFormat>
    <chartFormat chart="31" format="6" series="1">
      <pivotArea type="data" outline="0" fieldPosition="0">
        <references count="2">
          <reference field="4294967294" count="1" selected="0">
            <x v="0"/>
          </reference>
          <reference field="14" count="1" selected="0">
            <x v="2"/>
          </reference>
        </references>
      </pivotArea>
    </chartFormat>
    <chartFormat chart="31" format="7" series="1">
      <pivotArea type="data" outline="0" fieldPosition="0">
        <references count="2">
          <reference field="4294967294" count="1" selected="0">
            <x v="0"/>
          </reference>
          <reference field="14" count="1" selected="0">
            <x v="3"/>
          </reference>
        </references>
      </pivotArea>
    </chartFormat>
    <chartFormat chart="36" format="12" series="1">
      <pivotArea type="data" outline="0" fieldPosition="0">
        <references count="2">
          <reference field="4294967294" count="1" selected="0">
            <x v="0"/>
          </reference>
          <reference field="14" count="1" selected="0">
            <x v="0"/>
          </reference>
        </references>
      </pivotArea>
    </chartFormat>
    <chartFormat chart="36" format="13" series="1">
      <pivotArea type="data" outline="0" fieldPosition="0">
        <references count="2">
          <reference field="4294967294" count="1" selected="0">
            <x v="0"/>
          </reference>
          <reference field="14" count="1" selected="0">
            <x v="1"/>
          </reference>
        </references>
      </pivotArea>
    </chartFormat>
    <chartFormat chart="36" format="14" series="1">
      <pivotArea type="data" outline="0" fieldPosition="0">
        <references count="2">
          <reference field="4294967294" count="1" selected="0">
            <x v="0"/>
          </reference>
          <reference field="14" count="1" selected="0">
            <x v="2"/>
          </reference>
        </references>
      </pivotArea>
    </chartFormat>
    <chartFormat chart="36" format="15" series="1">
      <pivotArea type="data" outline="0" fieldPosition="0">
        <references count="2">
          <reference field="4294967294" count="1" selected="0">
            <x v="0"/>
          </reference>
          <reference field="14" count="1" selected="0">
            <x v="3"/>
          </reference>
        </references>
      </pivotArea>
    </chartFormat>
    <chartFormat chart="39"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5" format="2">
      <pivotArea type="data" outline="0" fieldPosition="0">
        <references count="2">
          <reference field="4294967294" count="1" selected="0">
            <x v="0"/>
          </reference>
          <reference field="14" count="1" selected="0">
            <x v="0"/>
          </reference>
        </references>
      </pivotArea>
    </chartFormat>
    <chartFormat chart="45" format="3">
      <pivotArea type="data" outline="0" fieldPosition="0">
        <references count="2">
          <reference field="4294967294" count="1" selected="0">
            <x v="0"/>
          </reference>
          <reference field="14" count="1" selected="0">
            <x v="1"/>
          </reference>
        </references>
      </pivotArea>
    </chartFormat>
    <chartFormat chart="45" format="4">
      <pivotArea type="data" outline="0" fieldPosition="0">
        <references count="2">
          <reference field="4294967294" count="1" selected="0">
            <x v="0"/>
          </reference>
          <reference field="14" count="1" selected="0">
            <x v="2"/>
          </reference>
        </references>
      </pivotArea>
    </chartFormat>
    <chartFormat chart="45" format="5">
      <pivotArea type="data" outline="0" fieldPosition="0">
        <references count="2">
          <reference field="4294967294" count="1" selected="0">
            <x v="0"/>
          </reference>
          <reference field="14" count="1" selected="0">
            <x v="3"/>
          </reference>
        </references>
      </pivotArea>
    </chartFormat>
    <chartFormat chart="46" format="6" series="1">
      <pivotArea type="data" outline="0" fieldPosition="0">
        <references count="1">
          <reference field="4294967294" count="1" selected="0">
            <x v="0"/>
          </reference>
        </references>
      </pivotArea>
    </chartFormat>
    <chartFormat chart="46" format="7">
      <pivotArea type="data" outline="0" fieldPosition="0">
        <references count="2">
          <reference field="4294967294" count="1" selected="0">
            <x v="0"/>
          </reference>
          <reference field="14" count="1" selected="0">
            <x v="0"/>
          </reference>
        </references>
      </pivotArea>
    </chartFormat>
    <chartFormat chart="46" format="8">
      <pivotArea type="data" outline="0" fieldPosition="0">
        <references count="2">
          <reference field="4294967294" count="1" selected="0">
            <x v="0"/>
          </reference>
          <reference field="14" count="1" selected="0">
            <x v="1"/>
          </reference>
        </references>
      </pivotArea>
    </chartFormat>
    <chartFormat chart="46" format="9">
      <pivotArea type="data" outline="0" fieldPosition="0">
        <references count="2">
          <reference field="4294967294" count="1" selected="0">
            <x v="0"/>
          </reference>
          <reference field="14" count="1" selected="0">
            <x v="2"/>
          </reference>
        </references>
      </pivotArea>
    </chartFormat>
    <chartFormat chart="46"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42D974-CB16-4CFE-B32C-6E72C0AA3ECA}" name="pvt product by Qty"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49:D71"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h="1" x="2"/>
        <item x="1"/>
        <item h="1"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6"/>
    </i>
    <i>
      <x v="18"/>
    </i>
    <i>
      <x v="13"/>
    </i>
    <i>
      <x v="5"/>
    </i>
    <i>
      <x v="16"/>
    </i>
    <i>
      <x v="1"/>
    </i>
    <i>
      <x v="12"/>
    </i>
    <i>
      <x v="11"/>
    </i>
    <i>
      <x v="3"/>
    </i>
    <i>
      <x v="14"/>
    </i>
    <i>
      <x v="4"/>
    </i>
    <i>
      <x v="8"/>
    </i>
    <i>
      <x v="10"/>
    </i>
    <i>
      <x v="19"/>
    </i>
    <i>
      <x v="2"/>
    </i>
    <i>
      <x v="17"/>
    </i>
    <i>
      <x/>
    </i>
    <i>
      <x v="15"/>
    </i>
    <i>
      <x v="9"/>
    </i>
    <i>
      <x v="7"/>
    </i>
    <i t="grand">
      <x/>
    </i>
  </rowItems>
  <colFields count="1">
    <field x="14"/>
  </colFields>
  <colItems count="3">
    <i>
      <x v="1"/>
    </i>
    <i>
      <x v="3"/>
    </i>
    <i t="grand">
      <x/>
    </i>
  </colItems>
  <dataFields count="1">
    <dataField name="Sum of Quantity" fld="2" baseField="0" baseItem="0"/>
  </dataFields>
  <chartFormats count="4">
    <chartFormat chart="36" format="12" series="1">
      <pivotArea type="data" outline="0" fieldPosition="0">
        <references count="2">
          <reference field="4294967294" count="1" selected="0">
            <x v="0"/>
          </reference>
          <reference field="14" count="1" selected="0">
            <x v="0"/>
          </reference>
        </references>
      </pivotArea>
    </chartFormat>
    <chartFormat chart="36" format="13" series="1">
      <pivotArea type="data" outline="0" fieldPosition="0">
        <references count="2">
          <reference field="4294967294" count="1" selected="0">
            <x v="0"/>
          </reference>
          <reference field="14" count="1" selected="0">
            <x v="1"/>
          </reference>
        </references>
      </pivotArea>
    </chartFormat>
    <chartFormat chart="36" format="14" series="1">
      <pivotArea type="data" outline="0" fieldPosition="0">
        <references count="2">
          <reference field="4294967294" count="1" selected="0">
            <x v="0"/>
          </reference>
          <reference field="14" count="1" selected="0">
            <x v="2"/>
          </reference>
        </references>
      </pivotArea>
    </chartFormat>
    <chartFormat chart="36" format="15"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1F494C-C438-4FB0-B3A9-330D0897750C}" name="Pvt Matrix"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ABF27223-DD45-4558-B620-9989A11EDFAC}" sourceName="Gender Value">
  <pivotTables>
    <pivotTable tabId="5" name="Pvt Rating"/>
    <pivotTable tabId="5" name="Pvt Duration"/>
    <pivotTable tabId="5" name="Pvt Gender"/>
    <pivotTable tabId="5" name="Pvt Maps"/>
    <pivotTable tabId="5" name="Pvt order analysis"/>
    <pivotTable tabId="5" name="pvt product by Qty"/>
    <pivotTable tabId="5" name="pvt treands"/>
  </pivotTables>
  <data>
    <tabular pivotCacheId="1635711303">
      <items count="4">
        <i x="2"/>
        <i x="1" s="1"/>
        <i x="3"/>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1642499B-384D-4196-AB2C-4D224FA5CEA9}" sourceName="Order Mode">
  <pivotTables>
    <pivotTable tabId="5" name="Pvt Rating"/>
    <pivotTable tabId="5" name="Pvt Duration"/>
    <pivotTable tabId="5" name="Pvt Gender"/>
    <pivotTable tabId="5" name="Pvt Maps"/>
    <pivotTable tabId="5" name="Pvt order analysis"/>
    <pivotTable tabId="5" name="pvt product by Qty"/>
    <pivotTable tabId="5" name="pvt treands"/>
  </pivotTables>
  <data>
    <tabular pivotCacheId="1635711303">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7975E102-3865-41A5-ABF5-999213AE72B7}" cache="Slicer_Gender_Value" caption="Gender Value" style="SlicerStyleDark2" rowHeight="257175"/>
  <slicer name="Order Mode" xr10:uid="{9D92D73A-918D-4F18-BA4C-798DF2E40F6C}" cache="Slicer_Order_Mode" caption="Order Mode"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B2" sqref="B2"/>
    </sheetView>
  </sheetViews>
  <sheetFormatPr defaultRowHeight="15" x14ac:dyDescent="0.25"/>
  <cols>
    <col min="1" max="1" width="16.28515625" customWidth="1"/>
    <col min="2" max="2" width="20.42578125" customWidth="1"/>
    <col min="3" max="3" width="11.7109375" customWidth="1"/>
    <col min="4" max="4" width="12.140625" customWidth="1"/>
    <col min="5" max="5" width="10.42578125" customWidth="1"/>
    <col min="6" max="6" width="14.7109375" customWidth="1"/>
    <col min="7" max="7" width="11.85546875" customWidth="1"/>
    <col min="8" max="8" width="19" customWidth="1"/>
    <col min="9" max="9" width="10.7109375" customWidth="1"/>
    <col min="10" max="10" width="9" customWidth="1"/>
    <col min="11" max="11" width="12.140625" customWidth="1"/>
    <col min="12" max="12" width="19.7109375" customWidth="1"/>
    <col min="13" max="13" width="17.5703125" customWidth="1"/>
    <col min="14" max="14" width="12.28515625" customWidth="1"/>
    <col min="15" max="15" width="16.140625"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D27" sqref="D27"/>
    </sheetView>
  </sheetViews>
  <sheetFormatPr defaultRowHeight="15" x14ac:dyDescent="0.25"/>
  <cols>
    <col min="1" max="1" width="3.7109375" customWidth="1"/>
    <col min="2" max="2" width="52.71093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36D6E-F16D-4193-810F-FBDE5A48675F}">
  <dimension ref="A2:K168"/>
  <sheetViews>
    <sheetView topLeftCell="A175" workbookViewId="0">
      <selection activeCell="I99" sqref="I99"/>
    </sheetView>
  </sheetViews>
  <sheetFormatPr defaultRowHeight="15" x14ac:dyDescent="0.25"/>
  <cols>
    <col min="1" max="1" width="14.28515625" bestFit="1" customWidth="1"/>
    <col min="2" max="2" width="16" bestFit="1" customWidth="1"/>
    <col min="3" max="3" width="15.42578125" bestFit="1" customWidth="1"/>
    <col min="4" max="4" width="12.140625" bestFit="1" customWidth="1"/>
    <col min="5" max="6" width="4.42578125" bestFit="1" customWidth="1"/>
    <col min="7" max="7" width="12.140625" bestFit="1" customWidth="1"/>
    <col min="8" max="8" width="15" customWidth="1"/>
    <col min="9" max="9" width="14.42578125" customWidth="1"/>
    <col min="10" max="10" width="14.28515625" bestFit="1" customWidth="1"/>
    <col min="11" max="11" width="16" bestFit="1" customWidth="1"/>
    <col min="12" max="14" width="9.28515625" customWidth="1"/>
    <col min="15" max="32" width="9.28515625" bestFit="1" customWidth="1"/>
    <col min="33" max="89" width="9.7109375" bestFit="1" customWidth="1"/>
    <col min="90" max="90" width="11.28515625" bestFit="1" customWidth="1"/>
  </cols>
  <sheetData>
    <row r="2" spans="1:11" x14ac:dyDescent="0.25">
      <c r="G2" t="s">
        <v>2527</v>
      </c>
    </row>
    <row r="3" spans="1:11" x14ac:dyDescent="0.25">
      <c r="A3" t="s">
        <v>2519</v>
      </c>
      <c r="B3" t="s">
        <v>2520</v>
      </c>
      <c r="C3" t="s">
        <v>2521</v>
      </c>
      <c r="D3" t="s">
        <v>2522</v>
      </c>
      <c r="E3" t="s">
        <v>2523</v>
      </c>
      <c r="G3" t="s">
        <v>2518</v>
      </c>
      <c r="H3" t="s">
        <v>2524</v>
      </c>
      <c r="I3" t="s">
        <v>4</v>
      </c>
      <c r="J3" t="s">
        <v>2525</v>
      </c>
      <c r="K3" t="s">
        <v>2526</v>
      </c>
    </row>
    <row r="4" spans="1:11" x14ac:dyDescent="0.25">
      <c r="A4" s="13">
        <v>2400</v>
      </c>
      <c r="B4" s="13">
        <v>11997</v>
      </c>
      <c r="C4" s="13">
        <v>649019.80000000144</v>
      </c>
      <c r="D4" s="13">
        <v>3.9620833333333332</v>
      </c>
      <c r="E4" s="13">
        <v>2.3424999999999998</v>
      </c>
      <c r="G4" t="str">
        <f>TEXT(A4,"#,##")</f>
        <v>2,400</v>
      </c>
      <c r="H4" t="str">
        <f t="shared" ref="H4" si="0">TEXT(B4,"#,##")</f>
        <v>11,997</v>
      </c>
      <c r="I4" t="str">
        <f>TEXT(C4,"$#,##,.OK")</f>
        <v>$649.OK</v>
      </c>
      <c r="J4" t="str">
        <f>TEXT(D4,"0.0")</f>
        <v>4.0</v>
      </c>
      <c r="K4" t="str">
        <f>TEXT(E4,"0.0")</f>
        <v>2.3</v>
      </c>
    </row>
    <row r="10" spans="1:11" x14ac:dyDescent="0.25">
      <c r="A10" s="6" t="s">
        <v>2528</v>
      </c>
    </row>
    <row r="11" spans="1:11" x14ac:dyDescent="0.25">
      <c r="A11" s="6"/>
    </row>
    <row r="12" spans="1:11" x14ac:dyDescent="0.25">
      <c r="A12" s="5" t="s">
        <v>2529</v>
      </c>
      <c r="B12" t="s">
        <v>2520</v>
      </c>
      <c r="C12" t="s">
        <v>2521</v>
      </c>
    </row>
    <row r="13" spans="1:11" x14ac:dyDescent="0.25">
      <c r="A13" s="7">
        <v>1</v>
      </c>
      <c r="B13" s="13">
        <v>281</v>
      </c>
      <c r="C13" s="8">
        <v>17757.399999999998</v>
      </c>
    </row>
    <row r="14" spans="1:11" x14ac:dyDescent="0.25">
      <c r="A14" s="7">
        <v>2</v>
      </c>
      <c r="B14" s="13">
        <v>319</v>
      </c>
      <c r="C14" s="8">
        <v>14515.7</v>
      </c>
    </row>
    <row r="15" spans="1:11" x14ac:dyDescent="0.25">
      <c r="A15" s="7">
        <v>3</v>
      </c>
      <c r="B15" s="13">
        <v>355</v>
      </c>
      <c r="C15" s="8">
        <v>16957.299999999996</v>
      </c>
    </row>
    <row r="16" spans="1:11" x14ac:dyDescent="0.25">
      <c r="A16" s="7">
        <v>4</v>
      </c>
      <c r="B16" s="13">
        <v>356</v>
      </c>
      <c r="C16" s="8">
        <v>16783.100000000002</v>
      </c>
    </row>
    <row r="17" spans="1:3" x14ac:dyDescent="0.25">
      <c r="A17" s="7">
        <v>5</v>
      </c>
      <c r="B17" s="13">
        <v>281</v>
      </c>
      <c r="C17" s="8">
        <v>14036.899999999998</v>
      </c>
    </row>
    <row r="18" spans="1:3" x14ac:dyDescent="0.25">
      <c r="A18" s="7">
        <v>6</v>
      </c>
      <c r="B18" s="13">
        <v>432</v>
      </c>
      <c r="C18" s="8">
        <v>22883.000000000015</v>
      </c>
    </row>
    <row r="19" spans="1:3" x14ac:dyDescent="0.25">
      <c r="A19" s="7">
        <v>7</v>
      </c>
      <c r="B19" s="13">
        <v>393</v>
      </c>
      <c r="C19" s="8">
        <v>22777.599999999988</v>
      </c>
    </row>
    <row r="20" spans="1:3" x14ac:dyDescent="0.25">
      <c r="A20" s="7">
        <v>8</v>
      </c>
      <c r="B20" s="13">
        <v>639</v>
      </c>
      <c r="C20" s="8">
        <v>31807.299999999996</v>
      </c>
    </row>
    <row r="21" spans="1:3" x14ac:dyDescent="0.25">
      <c r="A21" s="7">
        <v>9</v>
      </c>
      <c r="B21" s="13">
        <v>540</v>
      </c>
      <c r="C21" s="8">
        <v>28513.399999999991</v>
      </c>
    </row>
    <row r="22" spans="1:3" x14ac:dyDescent="0.25">
      <c r="A22" s="7">
        <v>10</v>
      </c>
      <c r="B22" s="13">
        <v>558</v>
      </c>
      <c r="C22" s="8">
        <v>32043.100000000006</v>
      </c>
    </row>
    <row r="23" spans="1:3" x14ac:dyDescent="0.25">
      <c r="A23" s="7">
        <v>11</v>
      </c>
      <c r="B23" s="13">
        <v>390</v>
      </c>
      <c r="C23" s="8">
        <v>20520.099999999999</v>
      </c>
    </row>
    <row r="24" spans="1:3" x14ac:dyDescent="0.25">
      <c r="A24" s="7">
        <v>12</v>
      </c>
      <c r="B24" s="13">
        <v>481</v>
      </c>
      <c r="C24" s="8">
        <v>29082.600000000006</v>
      </c>
    </row>
    <row r="25" spans="1:3" x14ac:dyDescent="0.25">
      <c r="A25" s="7">
        <v>13</v>
      </c>
      <c r="B25" s="13">
        <v>383</v>
      </c>
      <c r="C25" s="8">
        <v>23600.599999999988</v>
      </c>
    </row>
    <row r="26" spans="1:3" x14ac:dyDescent="0.25">
      <c r="A26" s="7" t="s">
        <v>2530</v>
      </c>
      <c r="B26" s="13">
        <v>5408</v>
      </c>
      <c r="C26" s="8">
        <v>291278.09999999998</v>
      </c>
    </row>
    <row r="35" spans="1:2" x14ac:dyDescent="0.25">
      <c r="A35" s="6" t="s">
        <v>2540</v>
      </c>
    </row>
    <row r="37" spans="1:2" x14ac:dyDescent="0.25">
      <c r="A37" s="5" t="s">
        <v>2529</v>
      </c>
      <c r="B37" t="s">
        <v>2519</v>
      </c>
    </row>
    <row r="38" spans="1:2" x14ac:dyDescent="0.25">
      <c r="A38" s="7">
        <v>1</v>
      </c>
      <c r="B38" s="13">
        <v>179</v>
      </c>
    </row>
    <row r="39" spans="1:2" x14ac:dyDescent="0.25">
      <c r="A39" s="7">
        <v>2</v>
      </c>
      <c r="B39" s="13">
        <v>272</v>
      </c>
    </row>
    <row r="40" spans="1:2" x14ac:dyDescent="0.25">
      <c r="A40" s="7">
        <v>3</v>
      </c>
      <c r="B40" s="13">
        <v>164</v>
      </c>
    </row>
    <row r="41" spans="1:2" x14ac:dyDescent="0.25">
      <c r="A41" s="7">
        <v>4</v>
      </c>
      <c r="B41" s="13">
        <v>113</v>
      </c>
    </row>
    <row r="42" spans="1:2" x14ac:dyDescent="0.25">
      <c r="A42" s="7">
        <v>5</v>
      </c>
      <c r="B42" s="13">
        <v>90</v>
      </c>
    </row>
    <row r="43" spans="1:2" x14ac:dyDescent="0.25">
      <c r="A43" s="7" t="s">
        <v>2537</v>
      </c>
      <c r="B43" s="13">
        <v>169</v>
      </c>
    </row>
    <row r="44" spans="1:2" x14ac:dyDescent="0.25">
      <c r="A44" s="7" t="s">
        <v>2538</v>
      </c>
      <c r="B44" s="13">
        <v>107</v>
      </c>
    </row>
    <row r="45" spans="1:2" x14ac:dyDescent="0.25">
      <c r="A45" s="7" t="s">
        <v>2530</v>
      </c>
      <c r="B45" s="13">
        <v>1094</v>
      </c>
    </row>
    <row r="47" spans="1:2" x14ac:dyDescent="0.25">
      <c r="A47" s="6" t="s">
        <v>2539</v>
      </c>
    </row>
    <row r="49" spans="1:11" x14ac:dyDescent="0.25">
      <c r="A49" s="5" t="s">
        <v>2520</v>
      </c>
      <c r="B49" s="5" t="s">
        <v>2531</v>
      </c>
      <c r="J49" s="5" t="s">
        <v>2529</v>
      </c>
      <c r="K49" t="s">
        <v>2520</v>
      </c>
    </row>
    <row r="50" spans="1:11" x14ac:dyDescent="0.25">
      <c r="A50" s="5" t="s">
        <v>2529</v>
      </c>
      <c r="B50" t="s">
        <v>2533</v>
      </c>
      <c r="C50" t="s">
        <v>2535</v>
      </c>
      <c r="D50" t="s">
        <v>2530</v>
      </c>
      <c r="J50" s="7" t="s">
        <v>2533</v>
      </c>
      <c r="K50" s="13">
        <v>4672</v>
      </c>
    </row>
    <row r="51" spans="1:11" x14ac:dyDescent="0.25">
      <c r="A51" s="7" t="s">
        <v>39</v>
      </c>
      <c r="B51" s="13">
        <v>598</v>
      </c>
      <c r="C51" s="13">
        <v>214</v>
      </c>
      <c r="D51" s="13">
        <v>812</v>
      </c>
      <c r="J51" s="7" t="s">
        <v>2535</v>
      </c>
      <c r="K51" s="13">
        <v>736</v>
      </c>
    </row>
    <row r="52" spans="1:11" x14ac:dyDescent="0.25">
      <c r="A52" s="7" t="s">
        <v>44</v>
      </c>
      <c r="B52" s="13">
        <v>713</v>
      </c>
      <c r="C52" s="13">
        <v>98</v>
      </c>
      <c r="D52" s="13">
        <v>811</v>
      </c>
      <c r="J52" s="7" t="s">
        <v>2530</v>
      </c>
      <c r="K52" s="13">
        <v>5408</v>
      </c>
    </row>
    <row r="53" spans="1:11" x14ac:dyDescent="0.25">
      <c r="A53" s="7" t="s">
        <v>26</v>
      </c>
      <c r="B53" s="13">
        <v>393</v>
      </c>
      <c r="C53" s="13">
        <v>137</v>
      </c>
      <c r="D53" s="13">
        <v>530</v>
      </c>
    </row>
    <row r="54" spans="1:11" x14ac:dyDescent="0.25">
      <c r="A54" s="7" t="s">
        <v>42</v>
      </c>
      <c r="B54" s="13">
        <v>318</v>
      </c>
      <c r="C54" s="13">
        <v>9</v>
      </c>
      <c r="D54" s="13">
        <v>327</v>
      </c>
    </row>
    <row r="55" spans="1:11" x14ac:dyDescent="0.25">
      <c r="A55" s="7" t="s">
        <v>22</v>
      </c>
      <c r="B55" s="13">
        <v>306</v>
      </c>
      <c r="C55" s="13">
        <v>16</v>
      </c>
      <c r="D55" s="13">
        <v>322</v>
      </c>
    </row>
    <row r="56" spans="1:11" x14ac:dyDescent="0.25">
      <c r="A56" s="7" t="s">
        <v>54</v>
      </c>
      <c r="B56" s="13">
        <v>295</v>
      </c>
      <c r="C56" s="13">
        <v>22</v>
      </c>
      <c r="D56" s="13">
        <v>317</v>
      </c>
    </row>
    <row r="57" spans="1:11" x14ac:dyDescent="0.25">
      <c r="A57" s="7" t="s">
        <v>16</v>
      </c>
      <c r="B57" s="13">
        <v>293</v>
      </c>
      <c r="C57" s="13">
        <v>24</v>
      </c>
      <c r="D57" s="13">
        <v>317</v>
      </c>
    </row>
    <row r="58" spans="1:11" x14ac:dyDescent="0.25">
      <c r="A58" s="7" t="s">
        <v>37</v>
      </c>
      <c r="B58" s="13">
        <v>275</v>
      </c>
      <c r="C58" s="13">
        <v>23</v>
      </c>
      <c r="D58" s="13">
        <v>298</v>
      </c>
    </row>
    <row r="59" spans="1:11" x14ac:dyDescent="0.25">
      <c r="A59" s="7" t="s">
        <v>123</v>
      </c>
      <c r="B59" s="13">
        <v>246</v>
      </c>
      <c r="C59" s="13">
        <v>8</v>
      </c>
      <c r="D59" s="13">
        <v>254</v>
      </c>
    </row>
    <row r="60" spans="1:11" x14ac:dyDescent="0.25">
      <c r="A60" s="7" t="s">
        <v>46</v>
      </c>
      <c r="B60" s="13">
        <v>202</v>
      </c>
      <c r="C60" s="13">
        <v>39</v>
      </c>
      <c r="D60" s="13">
        <v>241</v>
      </c>
    </row>
    <row r="61" spans="1:11" x14ac:dyDescent="0.25">
      <c r="A61" s="7" t="s">
        <v>32</v>
      </c>
      <c r="B61" s="13">
        <v>187</v>
      </c>
      <c r="C61" s="13">
        <v>15</v>
      </c>
      <c r="D61" s="13">
        <v>202</v>
      </c>
    </row>
    <row r="62" spans="1:11" x14ac:dyDescent="0.25">
      <c r="A62" s="7" t="s">
        <v>146</v>
      </c>
      <c r="B62" s="13">
        <v>168</v>
      </c>
      <c r="C62" s="13">
        <v>31</v>
      </c>
      <c r="D62" s="13">
        <v>199</v>
      </c>
    </row>
    <row r="63" spans="1:11" x14ac:dyDescent="0.25">
      <c r="A63" s="7" t="s">
        <v>135</v>
      </c>
      <c r="B63" s="13">
        <v>118</v>
      </c>
      <c r="C63" s="13">
        <v>12</v>
      </c>
      <c r="D63" s="13">
        <v>130</v>
      </c>
    </row>
    <row r="64" spans="1:11" x14ac:dyDescent="0.25">
      <c r="A64" s="7" t="s">
        <v>30</v>
      </c>
      <c r="B64" s="13">
        <v>94</v>
      </c>
      <c r="C64" s="13">
        <v>28</v>
      </c>
      <c r="D64" s="13">
        <v>122</v>
      </c>
    </row>
    <row r="65" spans="1:9" x14ac:dyDescent="0.25">
      <c r="A65" s="7" t="s">
        <v>69</v>
      </c>
      <c r="B65" s="13">
        <v>93</v>
      </c>
      <c r="C65" s="13">
        <v>24</v>
      </c>
      <c r="D65" s="13">
        <v>117</v>
      </c>
    </row>
    <row r="66" spans="1:9" x14ac:dyDescent="0.25">
      <c r="A66" s="7" t="s">
        <v>76</v>
      </c>
      <c r="B66" s="13">
        <v>103</v>
      </c>
      <c r="C66" s="13">
        <v>6</v>
      </c>
      <c r="D66" s="13">
        <v>109</v>
      </c>
    </row>
    <row r="67" spans="1:9" x14ac:dyDescent="0.25">
      <c r="A67" s="7" t="s">
        <v>81</v>
      </c>
      <c r="B67" s="13">
        <v>90</v>
      </c>
      <c r="C67" s="13">
        <v>6</v>
      </c>
      <c r="D67" s="13">
        <v>96</v>
      </c>
    </row>
    <row r="68" spans="1:9" x14ac:dyDescent="0.25">
      <c r="A68" s="7" t="s">
        <v>128</v>
      </c>
      <c r="B68" s="13">
        <v>69</v>
      </c>
      <c r="C68" s="13">
        <v>24</v>
      </c>
      <c r="D68" s="13">
        <v>93</v>
      </c>
    </row>
    <row r="69" spans="1:9" x14ac:dyDescent="0.25">
      <c r="A69" s="7" t="s">
        <v>67</v>
      </c>
      <c r="B69" s="13">
        <v>76</v>
      </c>
      <c r="C69" s="13"/>
      <c r="D69" s="13">
        <v>76</v>
      </c>
    </row>
    <row r="70" spans="1:9" x14ac:dyDescent="0.25">
      <c r="A70" s="7" t="s">
        <v>171</v>
      </c>
      <c r="B70" s="13">
        <v>35</v>
      </c>
      <c r="C70" s="13"/>
      <c r="D70" s="13">
        <v>35</v>
      </c>
    </row>
    <row r="71" spans="1:9" x14ac:dyDescent="0.25">
      <c r="A71" s="7" t="s">
        <v>2530</v>
      </c>
      <c r="B71" s="13">
        <v>4672</v>
      </c>
      <c r="C71" s="13">
        <v>736</v>
      </c>
      <c r="D71" s="13">
        <v>5408</v>
      </c>
    </row>
    <row r="75" spans="1:9" x14ac:dyDescent="0.25">
      <c r="A75" s="6" t="s">
        <v>2541</v>
      </c>
    </row>
    <row r="76" spans="1:9" x14ac:dyDescent="0.25">
      <c r="G76" t="s">
        <v>2543</v>
      </c>
    </row>
    <row r="77" spans="1:9" x14ac:dyDescent="0.25">
      <c r="A77" s="5" t="s">
        <v>10</v>
      </c>
      <c r="B77" s="5" t="s">
        <v>11</v>
      </c>
      <c r="C77" t="s">
        <v>2520</v>
      </c>
      <c r="D77" t="s">
        <v>2521</v>
      </c>
      <c r="G77" t="s">
        <v>2542</v>
      </c>
      <c r="H77" t="s">
        <v>11</v>
      </c>
      <c r="I77" t="s">
        <v>2524</v>
      </c>
    </row>
    <row r="78" spans="1:9" x14ac:dyDescent="0.25">
      <c r="A78" t="s">
        <v>19</v>
      </c>
      <c r="B78" t="s">
        <v>115</v>
      </c>
      <c r="C78" s="13">
        <v>227</v>
      </c>
      <c r="D78" s="13">
        <v>13591.600000000004</v>
      </c>
      <c r="G78" t="str">
        <f>IF(A78="","",A78)</f>
        <v>California</v>
      </c>
      <c r="H78" t="str">
        <f>IF(B78="","",B78)</f>
        <v>Alameda County</v>
      </c>
      <c r="I78">
        <f>IF(C78="","",C78)</f>
        <v>227</v>
      </c>
    </row>
    <row r="79" spans="1:9" x14ac:dyDescent="0.25">
      <c r="A79" t="s">
        <v>19</v>
      </c>
      <c r="B79" t="s">
        <v>20</v>
      </c>
      <c r="C79" s="13">
        <v>1</v>
      </c>
      <c r="D79" s="13">
        <v>10.9</v>
      </c>
      <c r="G79" t="str">
        <f t="shared" ref="G79:G140" si="1">IF(A79="","",A79)</f>
        <v>California</v>
      </c>
      <c r="H79" t="str">
        <f t="shared" ref="H79:H140" si="2">IF(B79="","",B79)</f>
        <v>Alpine County</v>
      </c>
      <c r="I79">
        <f t="shared" ref="I79:I140" si="3">IF(C79="","",C79)</f>
        <v>1</v>
      </c>
    </row>
    <row r="80" spans="1:9" x14ac:dyDescent="0.25">
      <c r="A80" t="s">
        <v>19</v>
      </c>
      <c r="B80" t="s">
        <v>641</v>
      </c>
      <c r="C80" s="13">
        <v>3</v>
      </c>
      <c r="D80" s="13">
        <v>323.39999999999998</v>
      </c>
      <c r="G80" t="str">
        <f t="shared" si="1"/>
        <v>California</v>
      </c>
      <c r="H80" t="str">
        <f t="shared" si="2"/>
        <v>Amador County</v>
      </c>
      <c r="I80">
        <f t="shared" si="3"/>
        <v>3</v>
      </c>
    </row>
    <row r="81" spans="1:9" x14ac:dyDescent="0.25">
      <c r="A81" t="s">
        <v>19</v>
      </c>
      <c r="B81" t="s">
        <v>967</v>
      </c>
      <c r="C81" s="13">
        <v>3</v>
      </c>
      <c r="D81" s="13">
        <v>253.5</v>
      </c>
      <c r="G81" t="str">
        <f t="shared" si="1"/>
        <v>California</v>
      </c>
      <c r="H81" t="str">
        <f t="shared" si="2"/>
        <v>Butte County</v>
      </c>
      <c r="I81">
        <f t="shared" si="3"/>
        <v>3</v>
      </c>
    </row>
    <row r="82" spans="1:9" x14ac:dyDescent="0.25">
      <c r="A82" t="s">
        <v>19</v>
      </c>
      <c r="B82" t="s">
        <v>84</v>
      </c>
      <c r="C82" s="13">
        <v>7</v>
      </c>
      <c r="D82" s="13">
        <v>133.70000000000002</v>
      </c>
      <c r="G82" t="str">
        <f t="shared" si="1"/>
        <v>California</v>
      </c>
      <c r="H82" t="str">
        <f t="shared" si="2"/>
        <v>Calaveras County</v>
      </c>
      <c r="I82">
        <f t="shared" si="3"/>
        <v>7</v>
      </c>
    </row>
    <row r="83" spans="1:9" x14ac:dyDescent="0.25">
      <c r="A83" t="s">
        <v>19</v>
      </c>
      <c r="B83" t="s">
        <v>1383</v>
      </c>
      <c r="C83" s="13">
        <v>1</v>
      </c>
      <c r="D83" s="13">
        <v>40.299999999999997</v>
      </c>
      <c r="G83" t="str">
        <f t="shared" si="1"/>
        <v>California</v>
      </c>
      <c r="H83" t="str">
        <f t="shared" si="2"/>
        <v>Colusa County</v>
      </c>
      <c r="I83">
        <f t="shared" si="3"/>
        <v>1</v>
      </c>
    </row>
    <row r="84" spans="1:9" x14ac:dyDescent="0.25">
      <c r="A84" t="s">
        <v>19</v>
      </c>
      <c r="B84" t="s">
        <v>24</v>
      </c>
      <c r="C84" s="13">
        <v>157</v>
      </c>
      <c r="D84" s="13">
        <v>7280.0999999999985</v>
      </c>
      <c r="G84" t="str">
        <f t="shared" si="1"/>
        <v>California</v>
      </c>
      <c r="H84" t="str">
        <f t="shared" si="2"/>
        <v>Contra Costa County</v>
      </c>
      <c r="I84">
        <f t="shared" si="3"/>
        <v>157</v>
      </c>
    </row>
    <row r="85" spans="1:9" x14ac:dyDescent="0.25">
      <c r="A85" t="s">
        <v>19</v>
      </c>
      <c r="B85" t="s">
        <v>2204</v>
      </c>
      <c r="C85" s="13">
        <v>13</v>
      </c>
      <c r="D85" s="13">
        <v>322.40000000000003</v>
      </c>
      <c r="G85" t="str">
        <f t="shared" si="1"/>
        <v>California</v>
      </c>
      <c r="H85" t="str">
        <f t="shared" si="2"/>
        <v>Del Norte County</v>
      </c>
      <c r="I85">
        <f t="shared" si="3"/>
        <v>13</v>
      </c>
    </row>
    <row r="86" spans="1:9" x14ac:dyDescent="0.25">
      <c r="A86" t="s">
        <v>19</v>
      </c>
      <c r="B86" t="s">
        <v>437</v>
      </c>
      <c r="C86" s="13">
        <v>9</v>
      </c>
      <c r="D86" s="13">
        <v>839</v>
      </c>
      <c r="G86" t="str">
        <f t="shared" si="1"/>
        <v>California</v>
      </c>
      <c r="H86" t="str">
        <f t="shared" si="2"/>
        <v>El Dorado County</v>
      </c>
      <c r="I86">
        <f t="shared" si="3"/>
        <v>9</v>
      </c>
    </row>
    <row r="87" spans="1:9" x14ac:dyDescent="0.25">
      <c r="A87" t="s">
        <v>19</v>
      </c>
      <c r="B87" t="s">
        <v>28</v>
      </c>
      <c r="C87" s="13">
        <v>105</v>
      </c>
      <c r="D87" s="13">
        <v>3729.5</v>
      </c>
      <c r="G87" t="str">
        <f t="shared" si="1"/>
        <v>California</v>
      </c>
      <c r="H87" t="str">
        <f t="shared" si="2"/>
        <v>Fresno County</v>
      </c>
      <c r="I87">
        <f t="shared" si="3"/>
        <v>105</v>
      </c>
    </row>
    <row r="88" spans="1:9" x14ac:dyDescent="0.25">
      <c r="A88" t="s">
        <v>19</v>
      </c>
      <c r="B88" t="s">
        <v>208</v>
      </c>
      <c r="C88" s="13">
        <v>7</v>
      </c>
      <c r="D88" s="13">
        <v>245.6</v>
      </c>
      <c r="G88" t="str">
        <f t="shared" si="1"/>
        <v>California</v>
      </c>
      <c r="H88" t="str">
        <f t="shared" si="2"/>
        <v>Glenn County</v>
      </c>
      <c r="I88">
        <f t="shared" si="3"/>
        <v>7</v>
      </c>
    </row>
    <row r="89" spans="1:9" x14ac:dyDescent="0.25">
      <c r="A89" t="s">
        <v>19</v>
      </c>
      <c r="B89" t="s">
        <v>587</v>
      </c>
      <c r="C89" s="13">
        <v>9</v>
      </c>
      <c r="D89" s="13">
        <v>292.89999999999998</v>
      </c>
      <c r="G89" t="str">
        <f t="shared" si="1"/>
        <v>California</v>
      </c>
      <c r="H89" t="str">
        <f t="shared" si="2"/>
        <v>Humboldt County</v>
      </c>
      <c r="I89">
        <f t="shared" si="3"/>
        <v>9</v>
      </c>
    </row>
    <row r="90" spans="1:9" x14ac:dyDescent="0.25">
      <c r="A90" t="s">
        <v>19</v>
      </c>
      <c r="B90" t="s">
        <v>331</v>
      </c>
      <c r="C90" s="13">
        <v>28</v>
      </c>
      <c r="D90" s="13">
        <v>1079.5</v>
      </c>
      <c r="G90" t="str">
        <f t="shared" si="1"/>
        <v>California</v>
      </c>
      <c r="H90" t="str">
        <f t="shared" si="2"/>
        <v>Imperial County</v>
      </c>
      <c r="I90">
        <f t="shared" si="3"/>
        <v>28</v>
      </c>
    </row>
    <row r="91" spans="1:9" x14ac:dyDescent="0.25">
      <c r="A91" t="s">
        <v>19</v>
      </c>
      <c r="B91" t="s">
        <v>86</v>
      </c>
      <c r="C91" s="13">
        <v>8</v>
      </c>
      <c r="D91" s="13">
        <v>887.5</v>
      </c>
      <c r="G91" t="str">
        <f t="shared" si="1"/>
        <v>California</v>
      </c>
      <c r="H91" t="str">
        <f t="shared" si="2"/>
        <v>Inyo County</v>
      </c>
      <c r="I91">
        <f t="shared" si="3"/>
        <v>8</v>
      </c>
    </row>
    <row r="92" spans="1:9" x14ac:dyDescent="0.25">
      <c r="A92" t="s">
        <v>19</v>
      </c>
      <c r="B92" t="s">
        <v>147</v>
      </c>
      <c r="C92" s="13">
        <v>104</v>
      </c>
      <c r="D92" s="13">
        <v>5164.4000000000005</v>
      </c>
      <c r="G92" t="str">
        <f t="shared" si="1"/>
        <v>California</v>
      </c>
      <c r="H92" t="str">
        <f t="shared" si="2"/>
        <v>Kern County</v>
      </c>
      <c r="I92">
        <f t="shared" si="3"/>
        <v>104</v>
      </c>
    </row>
    <row r="93" spans="1:9" x14ac:dyDescent="0.25">
      <c r="A93" t="s">
        <v>19</v>
      </c>
      <c r="B93" t="s">
        <v>334</v>
      </c>
      <c r="C93" s="13">
        <v>12</v>
      </c>
      <c r="D93" s="13">
        <v>313</v>
      </c>
      <c r="G93" t="str">
        <f t="shared" si="1"/>
        <v>California</v>
      </c>
      <c r="H93" t="str">
        <f t="shared" si="2"/>
        <v>Kings County</v>
      </c>
      <c r="I93">
        <f t="shared" si="3"/>
        <v>12</v>
      </c>
    </row>
    <row r="94" spans="1:9" x14ac:dyDescent="0.25">
      <c r="A94" t="s">
        <v>19</v>
      </c>
      <c r="B94" t="s">
        <v>949</v>
      </c>
      <c r="C94" s="13">
        <v>8</v>
      </c>
      <c r="D94" s="13">
        <v>762.5</v>
      </c>
      <c r="G94" t="str">
        <f t="shared" si="1"/>
        <v>California</v>
      </c>
      <c r="H94" t="str">
        <f t="shared" si="2"/>
        <v>Lake County</v>
      </c>
      <c r="I94">
        <f t="shared" si="3"/>
        <v>8</v>
      </c>
    </row>
    <row r="95" spans="1:9" x14ac:dyDescent="0.25">
      <c r="A95" t="s">
        <v>19</v>
      </c>
      <c r="B95" t="s">
        <v>1426</v>
      </c>
      <c r="C95" s="13">
        <v>1</v>
      </c>
      <c r="D95" s="13">
        <v>26.2</v>
      </c>
      <c r="G95" t="str">
        <f t="shared" si="1"/>
        <v>California</v>
      </c>
      <c r="H95" t="str">
        <f t="shared" si="2"/>
        <v>Lassen County</v>
      </c>
      <c r="I95">
        <f t="shared" si="3"/>
        <v>1</v>
      </c>
    </row>
    <row r="96" spans="1:9" x14ac:dyDescent="0.25">
      <c r="A96" t="s">
        <v>19</v>
      </c>
      <c r="B96" t="s">
        <v>33</v>
      </c>
      <c r="C96" s="13">
        <v>1816</v>
      </c>
      <c r="D96" s="13">
        <v>96208.099999999977</v>
      </c>
      <c r="G96" t="str">
        <f t="shared" si="1"/>
        <v>California</v>
      </c>
      <c r="H96" t="str">
        <f t="shared" si="2"/>
        <v>Los Angeles County</v>
      </c>
      <c r="I96">
        <f t="shared" si="3"/>
        <v>1816</v>
      </c>
    </row>
    <row r="97" spans="1:9" x14ac:dyDescent="0.25">
      <c r="A97" t="s">
        <v>19</v>
      </c>
      <c r="B97" t="s">
        <v>364</v>
      </c>
      <c r="C97" s="13">
        <v>25</v>
      </c>
      <c r="D97" s="13">
        <v>1122.6000000000001</v>
      </c>
      <c r="G97" t="str">
        <f t="shared" si="1"/>
        <v>California</v>
      </c>
      <c r="H97" t="str">
        <f t="shared" si="2"/>
        <v>Madera County</v>
      </c>
      <c r="I97">
        <f t="shared" si="3"/>
        <v>25</v>
      </c>
    </row>
    <row r="98" spans="1:9" x14ac:dyDescent="0.25">
      <c r="A98" t="s">
        <v>19</v>
      </c>
      <c r="B98" t="s">
        <v>545</v>
      </c>
      <c r="C98" s="13">
        <v>26</v>
      </c>
      <c r="D98" s="13">
        <v>728.80000000000007</v>
      </c>
      <c r="G98" t="str">
        <f t="shared" si="1"/>
        <v>California</v>
      </c>
      <c r="H98" t="str">
        <f t="shared" si="2"/>
        <v>Marin County</v>
      </c>
      <c r="I98">
        <f t="shared" si="3"/>
        <v>26</v>
      </c>
    </row>
    <row r="99" spans="1:9" x14ac:dyDescent="0.25">
      <c r="A99" t="s">
        <v>19</v>
      </c>
      <c r="B99" t="s">
        <v>186</v>
      </c>
      <c r="C99" s="13">
        <v>31</v>
      </c>
      <c r="D99" s="13">
        <v>1333.6999999999998</v>
      </c>
      <c r="G99" t="str">
        <f t="shared" si="1"/>
        <v>California</v>
      </c>
      <c r="H99" t="str">
        <f t="shared" si="2"/>
        <v>Merced County</v>
      </c>
      <c r="I99">
        <f t="shared" si="3"/>
        <v>31</v>
      </c>
    </row>
    <row r="100" spans="1:9" x14ac:dyDescent="0.25">
      <c r="A100" t="s">
        <v>19</v>
      </c>
      <c r="B100" t="s">
        <v>802</v>
      </c>
      <c r="C100" s="13">
        <v>30</v>
      </c>
      <c r="D100" s="13">
        <v>1568.6</v>
      </c>
      <c r="G100" t="str">
        <f t="shared" si="1"/>
        <v>California</v>
      </c>
      <c r="H100" t="str">
        <f t="shared" si="2"/>
        <v>Monterey County</v>
      </c>
      <c r="I100">
        <f t="shared" si="3"/>
        <v>30</v>
      </c>
    </row>
    <row r="101" spans="1:9" x14ac:dyDescent="0.25">
      <c r="A101" t="s">
        <v>19</v>
      </c>
      <c r="B101" t="s">
        <v>98</v>
      </c>
      <c r="C101" s="13">
        <v>26</v>
      </c>
      <c r="D101" s="13">
        <v>1361</v>
      </c>
      <c r="G101" t="str">
        <f t="shared" si="1"/>
        <v>California</v>
      </c>
      <c r="H101" t="str">
        <f t="shared" si="2"/>
        <v>Napa County</v>
      </c>
      <c r="I101">
        <f t="shared" si="3"/>
        <v>26</v>
      </c>
    </row>
    <row r="102" spans="1:9" x14ac:dyDescent="0.25">
      <c r="A102" t="s">
        <v>19</v>
      </c>
      <c r="B102" t="s">
        <v>49</v>
      </c>
      <c r="C102" s="13">
        <v>10</v>
      </c>
      <c r="D102" s="13">
        <v>443.29999999999995</v>
      </c>
      <c r="G102" t="str">
        <f t="shared" si="1"/>
        <v>California</v>
      </c>
      <c r="H102" t="str">
        <f t="shared" si="2"/>
        <v>Nevada County</v>
      </c>
      <c r="I102">
        <f t="shared" si="3"/>
        <v>10</v>
      </c>
    </row>
    <row r="103" spans="1:9" x14ac:dyDescent="0.25">
      <c r="A103" t="s">
        <v>19</v>
      </c>
      <c r="B103" t="s">
        <v>188</v>
      </c>
      <c r="C103" s="13">
        <v>114</v>
      </c>
      <c r="D103" s="13">
        <v>6159.6999999999989</v>
      </c>
      <c r="G103" t="str">
        <f t="shared" si="1"/>
        <v>California</v>
      </c>
      <c r="H103" t="str">
        <f t="shared" si="2"/>
        <v>Orange County</v>
      </c>
      <c r="I103">
        <f t="shared" si="3"/>
        <v>114</v>
      </c>
    </row>
    <row r="104" spans="1:9" x14ac:dyDescent="0.25">
      <c r="A104" t="s">
        <v>19</v>
      </c>
      <c r="B104" t="s">
        <v>52</v>
      </c>
      <c r="C104" s="13">
        <v>98</v>
      </c>
      <c r="D104" s="13">
        <v>6350.1</v>
      </c>
      <c r="G104" t="str">
        <f t="shared" si="1"/>
        <v>California</v>
      </c>
      <c r="H104" t="str">
        <f t="shared" si="2"/>
        <v>Placer County</v>
      </c>
      <c r="I104">
        <f t="shared" si="3"/>
        <v>98</v>
      </c>
    </row>
    <row r="105" spans="1:9" x14ac:dyDescent="0.25">
      <c r="A105" t="s">
        <v>19</v>
      </c>
      <c r="B105" t="s">
        <v>338</v>
      </c>
      <c r="C105" s="13">
        <v>5</v>
      </c>
      <c r="D105" s="13">
        <v>113.5</v>
      </c>
      <c r="G105" t="str">
        <f t="shared" si="1"/>
        <v>California</v>
      </c>
      <c r="H105" t="str">
        <f t="shared" si="2"/>
        <v>Plumas County</v>
      </c>
      <c r="I105">
        <f t="shared" si="3"/>
        <v>5</v>
      </c>
    </row>
    <row r="106" spans="1:9" x14ac:dyDescent="0.25">
      <c r="A106" t="s">
        <v>19</v>
      </c>
      <c r="B106" t="s">
        <v>158</v>
      </c>
      <c r="C106" s="13">
        <v>28</v>
      </c>
      <c r="D106" s="13">
        <v>1268.5</v>
      </c>
      <c r="G106" t="str">
        <f t="shared" si="1"/>
        <v>California</v>
      </c>
      <c r="H106" t="str">
        <f t="shared" si="2"/>
        <v>Riverside County</v>
      </c>
      <c r="I106">
        <f t="shared" si="3"/>
        <v>28</v>
      </c>
    </row>
    <row r="107" spans="1:9" x14ac:dyDescent="0.25">
      <c r="A107" t="s">
        <v>19</v>
      </c>
      <c r="B107" t="s">
        <v>55</v>
      </c>
      <c r="C107" s="13">
        <v>329</v>
      </c>
      <c r="D107" s="13">
        <v>17373.699999999997</v>
      </c>
      <c r="G107" t="str">
        <f t="shared" si="1"/>
        <v>California</v>
      </c>
      <c r="H107" t="str">
        <f t="shared" si="2"/>
        <v>Sacramento County</v>
      </c>
      <c r="I107">
        <f t="shared" si="3"/>
        <v>329</v>
      </c>
    </row>
    <row r="108" spans="1:9" x14ac:dyDescent="0.25">
      <c r="A108" t="s">
        <v>19</v>
      </c>
      <c r="B108" t="s">
        <v>342</v>
      </c>
      <c r="C108" s="13">
        <v>16</v>
      </c>
      <c r="D108" s="13">
        <v>779.30000000000007</v>
      </c>
      <c r="G108" t="str">
        <f t="shared" si="1"/>
        <v>California</v>
      </c>
      <c r="H108" t="str">
        <f t="shared" si="2"/>
        <v>San Benito County</v>
      </c>
      <c r="I108">
        <f t="shared" si="3"/>
        <v>16</v>
      </c>
    </row>
    <row r="109" spans="1:9" x14ac:dyDescent="0.25">
      <c r="A109" t="s">
        <v>19</v>
      </c>
      <c r="B109" t="s">
        <v>59</v>
      </c>
      <c r="C109" s="13">
        <v>166</v>
      </c>
      <c r="D109" s="13">
        <v>10622.8</v>
      </c>
      <c r="G109" t="str">
        <f t="shared" si="1"/>
        <v>California</v>
      </c>
      <c r="H109" t="str">
        <f t="shared" si="2"/>
        <v>San Bernardino County</v>
      </c>
      <c r="I109">
        <f t="shared" si="3"/>
        <v>166</v>
      </c>
    </row>
    <row r="110" spans="1:9" x14ac:dyDescent="0.25">
      <c r="A110" t="s">
        <v>19</v>
      </c>
      <c r="B110" t="s">
        <v>62</v>
      </c>
      <c r="C110" s="13">
        <v>848</v>
      </c>
      <c r="D110" s="13">
        <v>47992.3</v>
      </c>
      <c r="G110" t="str">
        <f t="shared" si="1"/>
        <v>California</v>
      </c>
      <c r="H110" t="str">
        <f t="shared" si="2"/>
        <v>San Diego County</v>
      </c>
      <c r="I110">
        <f t="shared" si="3"/>
        <v>848</v>
      </c>
    </row>
    <row r="111" spans="1:9" x14ac:dyDescent="0.25">
      <c r="A111" t="s">
        <v>19</v>
      </c>
      <c r="B111" t="s">
        <v>103</v>
      </c>
      <c r="C111" s="13">
        <v>178</v>
      </c>
      <c r="D111" s="13">
        <v>13835.099999999999</v>
      </c>
      <c r="G111" t="str">
        <f t="shared" si="1"/>
        <v>California</v>
      </c>
      <c r="H111" t="str">
        <f t="shared" si="2"/>
        <v>San Francisco</v>
      </c>
      <c r="I111">
        <f t="shared" si="3"/>
        <v>178</v>
      </c>
    </row>
    <row r="112" spans="1:9" x14ac:dyDescent="0.25">
      <c r="A112" t="s">
        <v>19</v>
      </c>
      <c r="B112" t="s">
        <v>201</v>
      </c>
      <c r="C112" s="13">
        <v>51</v>
      </c>
      <c r="D112" s="13">
        <v>1987.9</v>
      </c>
      <c r="G112" t="str">
        <f t="shared" si="1"/>
        <v>California</v>
      </c>
      <c r="H112" t="str">
        <f t="shared" si="2"/>
        <v>San Joaquin County</v>
      </c>
      <c r="I112">
        <f t="shared" si="3"/>
        <v>51</v>
      </c>
    </row>
    <row r="113" spans="1:9" x14ac:dyDescent="0.25">
      <c r="A113" t="s">
        <v>19</v>
      </c>
      <c r="B113" t="s">
        <v>72</v>
      </c>
      <c r="C113" s="13">
        <v>117</v>
      </c>
      <c r="D113" s="13">
        <v>6110.4</v>
      </c>
      <c r="G113" t="str">
        <f t="shared" si="1"/>
        <v>California</v>
      </c>
      <c r="H113" t="str">
        <f t="shared" si="2"/>
        <v>San Mateo County</v>
      </c>
      <c r="I113">
        <f t="shared" si="3"/>
        <v>117</v>
      </c>
    </row>
    <row r="114" spans="1:9" x14ac:dyDescent="0.25">
      <c r="A114" t="s">
        <v>19</v>
      </c>
      <c r="B114" t="s">
        <v>74</v>
      </c>
      <c r="C114" s="13">
        <v>73</v>
      </c>
      <c r="D114" s="13">
        <v>2600.9</v>
      </c>
      <c r="G114" t="str">
        <f t="shared" si="1"/>
        <v>California</v>
      </c>
      <c r="H114" t="str">
        <f t="shared" si="2"/>
        <v>Santa Barbara County</v>
      </c>
      <c r="I114">
        <f t="shared" si="3"/>
        <v>73</v>
      </c>
    </row>
    <row r="115" spans="1:9" x14ac:dyDescent="0.25">
      <c r="A115" t="s">
        <v>19</v>
      </c>
      <c r="B115" t="s">
        <v>77</v>
      </c>
      <c r="C115" s="13">
        <v>333</v>
      </c>
      <c r="D115" s="13">
        <v>17601.499999999996</v>
      </c>
      <c r="G115" t="str">
        <f t="shared" si="1"/>
        <v>California</v>
      </c>
      <c r="H115" t="str">
        <f t="shared" si="2"/>
        <v>Santa Clara County</v>
      </c>
      <c r="I115">
        <f t="shared" si="3"/>
        <v>333</v>
      </c>
    </row>
    <row r="116" spans="1:9" x14ac:dyDescent="0.25">
      <c r="A116" t="s">
        <v>19</v>
      </c>
      <c r="B116" t="s">
        <v>309</v>
      </c>
      <c r="C116" s="13">
        <v>18</v>
      </c>
      <c r="D116" s="13">
        <v>376.2</v>
      </c>
      <c r="G116" t="str">
        <f t="shared" si="1"/>
        <v>California</v>
      </c>
      <c r="H116" t="str">
        <f t="shared" si="2"/>
        <v>Santa Cruz County</v>
      </c>
      <c r="I116">
        <f t="shared" si="3"/>
        <v>18</v>
      </c>
    </row>
    <row r="117" spans="1:9" x14ac:dyDescent="0.25">
      <c r="A117" t="s">
        <v>19</v>
      </c>
      <c r="B117" t="s">
        <v>1116</v>
      </c>
      <c r="C117" s="13">
        <v>32</v>
      </c>
      <c r="D117" s="13">
        <v>1515</v>
      </c>
      <c r="G117" t="str">
        <f t="shared" si="1"/>
        <v>California</v>
      </c>
      <c r="H117" t="str">
        <f t="shared" si="2"/>
        <v>Shasta County</v>
      </c>
      <c r="I117">
        <f t="shared" si="3"/>
        <v>32</v>
      </c>
    </row>
    <row r="118" spans="1:9" x14ac:dyDescent="0.25">
      <c r="A118" t="s">
        <v>19</v>
      </c>
      <c r="B118" t="s">
        <v>268</v>
      </c>
      <c r="C118" s="13">
        <v>3</v>
      </c>
      <c r="D118" s="13">
        <v>136.39999999999998</v>
      </c>
      <c r="G118" t="str">
        <f t="shared" si="1"/>
        <v>California</v>
      </c>
      <c r="H118" t="str">
        <f t="shared" si="2"/>
        <v>Siskiyou County</v>
      </c>
      <c r="I118">
        <f t="shared" si="3"/>
        <v>3</v>
      </c>
    </row>
    <row r="119" spans="1:9" x14ac:dyDescent="0.25">
      <c r="A119" t="s">
        <v>19</v>
      </c>
      <c r="B119" t="s">
        <v>377</v>
      </c>
      <c r="C119" s="13">
        <v>18</v>
      </c>
      <c r="D119" s="13">
        <v>849.4</v>
      </c>
      <c r="G119" t="str">
        <f t="shared" si="1"/>
        <v>California</v>
      </c>
      <c r="H119" t="str">
        <f t="shared" si="2"/>
        <v>Solano County</v>
      </c>
      <c r="I119">
        <f t="shared" si="3"/>
        <v>18</v>
      </c>
    </row>
    <row r="120" spans="1:9" x14ac:dyDescent="0.25">
      <c r="A120" t="s">
        <v>19</v>
      </c>
      <c r="B120" t="s">
        <v>108</v>
      </c>
      <c r="C120" s="13">
        <v>104</v>
      </c>
      <c r="D120" s="13">
        <v>6692.2</v>
      </c>
      <c r="G120" t="str">
        <f t="shared" si="1"/>
        <v>California</v>
      </c>
      <c r="H120" t="str">
        <f t="shared" si="2"/>
        <v>Sonoma County</v>
      </c>
      <c r="I120">
        <f t="shared" si="3"/>
        <v>104</v>
      </c>
    </row>
    <row r="121" spans="1:9" x14ac:dyDescent="0.25">
      <c r="A121" t="s">
        <v>19</v>
      </c>
      <c r="B121" t="s">
        <v>110</v>
      </c>
      <c r="C121" s="13">
        <v>68</v>
      </c>
      <c r="D121" s="13">
        <v>3413.5999999999995</v>
      </c>
      <c r="G121" t="str">
        <f t="shared" si="1"/>
        <v>California</v>
      </c>
      <c r="H121" t="str">
        <f t="shared" si="2"/>
        <v>Stanislaus County</v>
      </c>
      <c r="I121">
        <f t="shared" si="3"/>
        <v>68</v>
      </c>
    </row>
    <row r="122" spans="1:9" x14ac:dyDescent="0.25">
      <c r="A122" t="s">
        <v>19</v>
      </c>
      <c r="B122" t="s">
        <v>292</v>
      </c>
      <c r="C122" s="13">
        <v>7</v>
      </c>
      <c r="D122" s="13">
        <v>290.8</v>
      </c>
      <c r="G122" t="str">
        <f t="shared" si="1"/>
        <v>California</v>
      </c>
      <c r="H122" t="str">
        <f t="shared" si="2"/>
        <v>Sutter County</v>
      </c>
      <c r="I122">
        <f t="shared" si="3"/>
        <v>7</v>
      </c>
    </row>
    <row r="123" spans="1:9" x14ac:dyDescent="0.25">
      <c r="A123" t="s">
        <v>19</v>
      </c>
      <c r="B123" t="s">
        <v>79</v>
      </c>
      <c r="C123" s="13">
        <v>6</v>
      </c>
      <c r="D123" s="13">
        <v>323</v>
      </c>
      <c r="G123" t="str">
        <f t="shared" si="1"/>
        <v>California</v>
      </c>
      <c r="H123" t="str">
        <f t="shared" si="2"/>
        <v>Tehama County</v>
      </c>
      <c r="I123">
        <f t="shared" si="3"/>
        <v>6</v>
      </c>
    </row>
    <row r="124" spans="1:9" x14ac:dyDescent="0.25">
      <c r="A124" t="s">
        <v>19</v>
      </c>
      <c r="B124" t="s">
        <v>113</v>
      </c>
      <c r="C124" s="13">
        <v>44</v>
      </c>
      <c r="D124" s="13">
        <v>2288.5000000000005</v>
      </c>
      <c r="G124" t="str">
        <f t="shared" si="1"/>
        <v>California</v>
      </c>
      <c r="H124" t="str">
        <f t="shared" si="2"/>
        <v>Tulare County</v>
      </c>
      <c r="I124">
        <f t="shared" si="3"/>
        <v>44</v>
      </c>
    </row>
    <row r="125" spans="1:9" x14ac:dyDescent="0.25">
      <c r="A125" t="s">
        <v>19</v>
      </c>
      <c r="B125" t="s">
        <v>997</v>
      </c>
      <c r="C125" s="13">
        <v>12</v>
      </c>
      <c r="D125" s="13">
        <v>889.2</v>
      </c>
      <c r="G125" t="str">
        <f t="shared" si="1"/>
        <v>California</v>
      </c>
      <c r="H125" t="str">
        <f t="shared" si="2"/>
        <v>Tuolumne County</v>
      </c>
      <c r="I125">
        <f t="shared" si="3"/>
        <v>12</v>
      </c>
    </row>
    <row r="126" spans="1:9" x14ac:dyDescent="0.25">
      <c r="A126" t="s">
        <v>19</v>
      </c>
      <c r="B126" t="s">
        <v>82</v>
      </c>
      <c r="C126" s="13">
        <v>69</v>
      </c>
      <c r="D126" s="13">
        <v>3346.4</v>
      </c>
      <c r="G126" t="str">
        <f t="shared" si="1"/>
        <v>California</v>
      </c>
      <c r="H126" t="str">
        <f t="shared" si="2"/>
        <v>Ventura County</v>
      </c>
      <c r="I126">
        <f t="shared" si="3"/>
        <v>69</v>
      </c>
    </row>
    <row r="127" spans="1:9" x14ac:dyDescent="0.25">
      <c r="A127" t="s">
        <v>19</v>
      </c>
      <c r="B127" t="s">
        <v>243</v>
      </c>
      <c r="C127" s="13">
        <v>4</v>
      </c>
      <c r="D127" s="13">
        <v>299.60000000000002</v>
      </c>
      <c r="G127" t="str">
        <f t="shared" si="1"/>
        <v>California</v>
      </c>
      <c r="H127" t="str">
        <f t="shared" si="2"/>
        <v>Yolo County</v>
      </c>
      <c r="I127">
        <f t="shared" si="3"/>
        <v>4</v>
      </c>
    </row>
    <row r="128" spans="1:9" x14ac:dyDescent="0.25">
      <c r="G128" t="str">
        <f t="shared" si="1"/>
        <v/>
      </c>
      <c r="H128" t="str">
        <f t="shared" si="2"/>
        <v/>
      </c>
      <c r="I128" t="str">
        <f t="shared" si="3"/>
        <v/>
      </c>
    </row>
    <row r="129" spans="1:9" x14ac:dyDescent="0.25">
      <c r="G129" t="str">
        <f t="shared" si="1"/>
        <v/>
      </c>
      <c r="H129" t="str">
        <f t="shared" si="2"/>
        <v/>
      </c>
      <c r="I129" t="str">
        <f t="shared" si="3"/>
        <v/>
      </c>
    </row>
    <row r="130" spans="1:9" x14ac:dyDescent="0.25">
      <c r="G130" t="str">
        <f t="shared" si="1"/>
        <v/>
      </c>
      <c r="H130" t="str">
        <f t="shared" si="2"/>
        <v/>
      </c>
      <c r="I130" t="str">
        <f t="shared" si="3"/>
        <v/>
      </c>
    </row>
    <row r="131" spans="1:9" x14ac:dyDescent="0.25">
      <c r="G131" t="str">
        <f t="shared" si="1"/>
        <v/>
      </c>
      <c r="H131" t="str">
        <f t="shared" si="2"/>
        <v/>
      </c>
      <c r="I131" t="str">
        <f t="shared" si="3"/>
        <v/>
      </c>
    </row>
    <row r="132" spans="1:9" x14ac:dyDescent="0.25">
      <c r="G132" t="str">
        <f t="shared" si="1"/>
        <v/>
      </c>
      <c r="H132" t="str">
        <f t="shared" si="2"/>
        <v/>
      </c>
      <c r="I132" t="str">
        <f t="shared" si="3"/>
        <v/>
      </c>
    </row>
    <row r="133" spans="1:9" x14ac:dyDescent="0.25">
      <c r="G133" t="str">
        <f t="shared" si="1"/>
        <v/>
      </c>
      <c r="H133" t="str">
        <f t="shared" si="2"/>
        <v/>
      </c>
      <c r="I133" t="str">
        <f t="shared" si="3"/>
        <v/>
      </c>
    </row>
    <row r="134" spans="1:9" x14ac:dyDescent="0.25">
      <c r="G134" t="str">
        <f t="shared" si="1"/>
        <v/>
      </c>
      <c r="H134" t="str">
        <f t="shared" si="2"/>
        <v/>
      </c>
      <c r="I134" t="str">
        <f t="shared" si="3"/>
        <v/>
      </c>
    </row>
    <row r="135" spans="1:9" x14ac:dyDescent="0.25">
      <c r="G135" t="str">
        <f t="shared" si="1"/>
        <v/>
      </c>
      <c r="H135" t="str">
        <f t="shared" si="2"/>
        <v/>
      </c>
      <c r="I135" t="str">
        <f t="shared" si="3"/>
        <v/>
      </c>
    </row>
    <row r="136" spans="1:9" x14ac:dyDescent="0.25">
      <c r="G136" t="str">
        <f t="shared" si="1"/>
        <v/>
      </c>
      <c r="H136" t="str">
        <f t="shared" si="2"/>
        <v/>
      </c>
      <c r="I136" t="str">
        <f t="shared" si="3"/>
        <v/>
      </c>
    </row>
    <row r="137" spans="1:9" x14ac:dyDescent="0.25">
      <c r="G137" t="str">
        <f t="shared" si="1"/>
        <v/>
      </c>
      <c r="H137" t="str">
        <f t="shared" si="2"/>
        <v/>
      </c>
      <c r="I137" t="str">
        <f t="shared" si="3"/>
        <v/>
      </c>
    </row>
    <row r="138" spans="1:9" x14ac:dyDescent="0.25">
      <c r="G138" t="str">
        <f t="shared" si="1"/>
        <v/>
      </c>
      <c r="H138" t="str">
        <f t="shared" si="2"/>
        <v/>
      </c>
      <c r="I138" t="str">
        <f t="shared" si="3"/>
        <v/>
      </c>
    </row>
    <row r="139" spans="1:9" x14ac:dyDescent="0.25">
      <c r="A139" s="6" t="s">
        <v>2544</v>
      </c>
      <c r="G139" t="str">
        <f t="shared" si="1"/>
        <v>Shipment Duration Analysis</v>
      </c>
      <c r="H139" t="str">
        <f t="shared" si="2"/>
        <v/>
      </c>
      <c r="I139" t="str">
        <f t="shared" si="3"/>
        <v/>
      </c>
    </row>
    <row r="140" spans="1:9" x14ac:dyDescent="0.25">
      <c r="G140" t="str">
        <f t="shared" si="1"/>
        <v/>
      </c>
      <c r="H140" t="str">
        <f t="shared" si="2"/>
        <v/>
      </c>
      <c r="I140" t="str">
        <f t="shared" si="3"/>
        <v/>
      </c>
    </row>
    <row r="141" spans="1:9" x14ac:dyDescent="0.25">
      <c r="A141" s="5" t="s">
        <v>2529</v>
      </c>
      <c r="B141" t="s">
        <v>2519</v>
      </c>
    </row>
    <row r="142" spans="1:9" x14ac:dyDescent="0.25">
      <c r="A142" s="7">
        <v>0</v>
      </c>
      <c r="B142" s="13">
        <v>81</v>
      </c>
    </row>
    <row r="143" spans="1:9" x14ac:dyDescent="0.25">
      <c r="A143" s="7">
        <v>1</v>
      </c>
      <c r="B143" s="13">
        <v>435</v>
      </c>
    </row>
    <row r="144" spans="1:9" x14ac:dyDescent="0.25">
      <c r="A144" s="7">
        <v>2</v>
      </c>
      <c r="B144" s="13">
        <v>226</v>
      </c>
    </row>
    <row r="145" spans="1:2" x14ac:dyDescent="0.25">
      <c r="A145" s="7">
        <v>3</v>
      </c>
      <c r="B145" s="13">
        <v>154</v>
      </c>
    </row>
    <row r="146" spans="1:2" x14ac:dyDescent="0.25">
      <c r="A146" s="7">
        <v>4</v>
      </c>
      <c r="B146" s="13">
        <v>89</v>
      </c>
    </row>
    <row r="147" spans="1:2" x14ac:dyDescent="0.25">
      <c r="A147" s="7">
        <v>5</v>
      </c>
      <c r="B147" s="13">
        <v>38</v>
      </c>
    </row>
    <row r="148" spans="1:2" x14ac:dyDescent="0.25">
      <c r="A148" s="7">
        <v>6</v>
      </c>
      <c r="B148" s="13">
        <v>26</v>
      </c>
    </row>
    <row r="149" spans="1:2" x14ac:dyDescent="0.25">
      <c r="A149" s="7">
        <v>7</v>
      </c>
      <c r="B149" s="13">
        <v>17</v>
      </c>
    </row>
    <row r="150" spans="1:2" x14ac:dyDescent="0.25">
      <c r="A150" s="7">
        <v>8</v>
      </c>
      <c r="B150" s="13">
        <v>5</v>
      </c>
    </row>
    <row r="151" spans="1:2" x14ac:dyDescent="0.25">
      <c r="A151" s="7">
        <v>9</v>
      </c>
      <c r="B151" s="13">
        <v>3</v>
      </c>
    </row>
    <row r="152" spans="1:2" x14ac:dyDescent="0.25">
      <c r="A152" s="7">
        <v>10</v>
      </c>
      <c r="B152" s="13">
        <v>7</v>
      </c>
    </row>
    <row r="153" spans="1:2" x14ac:dyDescent="0.25">
      <c r="A153" s="7">
        <v>11</v>
      </c>
      <c r="B153" s="13">
        <v>5</v>
      </c>
    </row>
    <row r="154" spans="1:2" x14ac:dyDescent="0.25">
      <c r="A154" s="7">
        <v>12</v>
      </c>
      <c r="B154" s="13">
        <v>2</v>
      </c>
    </row>
    <row r="155" spans="1:2" x14ac:dyDescent="0.25">
      <c r="A155" s="7">
        <v>14</v>
      </c>
      <c r="B155" s="13">
        <v>6</v>
      </c>
    </row>
    <row r="156" spans="1:2" x14ac:dyDescent="0.25">
      <c r="A156" s="7" t="s">
        <v>2530</v>
      </c>
      <c r="B156" s="13">
        <v>1094</v>
      </c>
    </row>
    <row r="161" spans="1:7" x14ac:dyDescent="0.25">
      <c r="A161" s="6" t="s">
        <v>2545</v>
      </c>
      <c r="B161" s="6"/>
    </row>
    <row r="163" spans="1:7" x14ac:dyDescent="0.25">
      <c r="A163" s="5" t="s">
        <v>2519</v>
      </c>
      <c r="B163" s="5" t="s">
        <v>2531</v>
      </c>
    </row>
    <row r="164" spans="1:7" x14ac:dyDescent="0.25">
      <c r="A164" s="5" t="s">
        <v>2529</v>
      </c>
      <c r="B164">
        <v>1</v>
      </c>
      <c r="C164">
        <v>2</v>
      </c>
      <c r="D164">
        <v>3</v>
      </c>
      <c r="E164">
        <v>4</v>
      </c>
      <c r="F164">
        <v>5</v>
      </c>
      <c r="G164" t="s">
        <v>2530</v>
      </c>
    </row>
    <row r="165" spans="1:7" x14ac:dyDescent="0.25">
      <c r="A165" s="7" t="s">
        <v>2546</v>
      </c>
      <c r="B165" s="13">
        <v>1</v>
      </c>
      <c r="C165" s="13">
        <v>19</v>
      </c>
      <c r="D165" s="13">
        <v>59</v>
      </c>
      <c r="E165" s="13">
        <v>133</v>
      </c>
      <c r="F165" s="13">
        <v>105</v>
      </c>
      <c r="G165" s="13">
        <v>317</v>
      </c>
    </row>
    <row r="166" spans="1:7" x14ac:dyDescent="0.25">
      <c r="A166" s="7" t="s">
        <v>2547</v>
      </c>
      <c r="B166" s="13">
        <v>2</v>
      </c>
      <c r="C166" s="13">
        <v>25</v>
      </c>
      <c r="D166" s="13">
        <v>84</v>
      </c>
      <c r="E166" s="13">
        <v>159</v>
      </c>
      <c r="F166" s="13">
        <v>121</v>
      </c>
      <c r="G166" s="13">
        <v>391</v>
      </c>
    </row>
    <row r="167" spans="1:7" x14ac:dyDescent="0.25">
      <c r="A167" s="7" t="s">
        <v>2548</v>
      </c>
      <c r="B167" s="13">
        <v>2</v>
      </c>
      <c r="C167" s="13">
        <v>16</v>
      </c>
      <c r="D167" s="13">
        <v>84</v>
      </c>
      <c r="E167" s="13">
        <v>170</v>
      </c>
      <c r="F167" s="13">
        <v>114</v>
      </c>
      <c r="G167" s="13">
        <v>386</v>
      </c>
    </row>
    <row r="168" spans="1:7" x14ac:dyDescent="0.25">
      <c r="A168" s="7" t="s">
        <v>2530</v>
      </c>
      <c r="B168" s="13">
        <v>5</v>
      </c>
      <c r="C168" s="13">
        <v>60</v>
      </c>
      <c r="D168" s="13">
        <v>227</v>
      </c>
      <c r="E168" s="13">
        <v>462</v>
      </c>
      <c r="F168" s="13">
        <v>340</v>
      </c>
      <c r="G168" s="13">
        <v>1094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28377-1542-47F0-8D28-0D356B5E142C}">
  <dimension ref="A2:L10"/>
  <sheetViews>
    <sheetView workbookViewId="0">
      <selection activeCell="P14" sqref="P14"/>
    </sheetView>
  </sheetViews>
  <sheetFormatPr defaultRowHeight="15" x14ac:dyDescent="0.25"/>
  <cols>
    <col min="1" max="1" width="14.85546875" customWidth="1"/>
    <col min="2" max="2" width="16.85546875" customWidth="1"/>
    <col min="3" max="3" width="7.140625" customWidth="1"/>
    <col min="4" max="4" width="6.140625" customWidth="1"/>
    <col min="5" max="5" width="9.28515625" customWidth="1"/>
    <col min="6" max="6" width="11.28515625" customWidth="1"/>
    <col min="8" max="8" width="11.5703125" customWidth="1"/>
    <col min="9" max="9" width="9.85546875" customWidth="1"/>
    <col min="10" max="12" width="9.7109375" customWidth="1"/>
  </cols>
  <sheetData>
    <row r="2" spans="1:12" x14ac:dyDescent="0.25">
      <c r="H2" s="6" t="s">
        <v>2536</v>
      </c>
    </row>
    <row r="3" spans="1:12" ht="15" customHeight="1" x14ac:dyDescent="0.25">
      <c r="A3" s="5" t="s">
        <v>2521</v>
      </c>
      <c r="B3" s="5" t="s">
        <v>2531</v>
      </c>
    </row>
    <row r="4" spans="1:12" ht="20.25" customHeight="1" x14ac:dyDescent="0.25">
      <c r="A4" s="5" t="s">
        <v>2529</v>
      </c>
      <c r="B4" t="s">
        <v>2532</v>
      </c>
      <c r="C4" t="s">
        <v>2533</v>
      </c>
      <c r="D4" t="s">
        <v>2534</v>
      </c>
      <c r="E4" t="s">
        <v>2535</v>
      </c>
      <c r="F4" t="s">
        <v>2530</v>
      </c>
      <c r="I4" t="str">
        <f>B4</f>
        <v>Female</v>
      </c>
      <c r="J4" t="str">
        <f t="shared" ref="J4:L4" si="0">C4</f>
        <v>Male</v>
      </c>
      <c r="K4" t="str">
        <f t="shared" si="0"/>
        <v>Other</v>
      </c>
      <c r="L4" t="str">
        <f t="shared" si="0"/>
        <v>Unknown</v>
      </c>
    </row>
    <row r="5" spans="1:12" ht="20.25" customHeight="1" x14ac:dyDescent="0.25">
      <c r="A5" s="7" t="s">
        <v>18</v>
      </c>
      <c r="B5" s="9">
        <v>0.18961825201634841</v>
      </c>
      <c r="C5" s="9">
        <v>0.12262322351336576</v>
      </c>
      <c r="D5" s="9">
        <v>1.060537752469185E-2</v>
      </c>
      <c r="E5" s="9">
        <v>3.0599220547662797E-2</v>
      </c>
      <c r="F5" s="9">
        <v>0.35344607360206881</v>
      </c>
      <c r="H5" t="str">
        <f>A5</f>
        <v>App</v>
      </c>
      <c r="I5" s="10">
        <f t="shared" ref="I5:L9" si="1">B5</f>
        <v>0.18961825201634841</v>
      </c>
      <c r="J5" s="10">
        <f t="shared" si="1"/>
        <v>0.12262322351336576</v>
      </c>
      <c r="K5" s="10">
        <f t="shared" si="1"/>
        <v>1.060537752469185E-2</v>
      </c>
      <c r="L5" s="10">
        <f t="shared" si="1"/>
        <v>3.0599220547662797E-2</v>
      </c>
    </row>
    <row r="6" spans="1:12" ht="20.25" customHeight="1" x14ac:dyDescent="0.25">
      <c r="A6" s="7" t="s">
        <v>51</v>
      </c>
      <c r="B6" s="9">
        <v>5.0283982091147303E-2</v>
      </c>
      <c r="C6" s="9">
        <v>4.3060781812819873E-2</v>
      </c>
      <c r="D6" s="9">
        <v>1.5320025675641944E-3</v>
      </c>
      <c r="E6" s="9">
        <v>1.7794988689097006E-2</v>
      </c>
      <c r="F6" s="9">
        <v>0.11267175516062837</v>
      </c>
      <c r="H6" t="str">
        <f t="shared" ref="H6:H9" si="2">A6</f>
        <v>Instagram</v>
      </c>
      <c r="I6" s="10">
        <f t="shared" si="1"/>
        <v>5.0283982091147303E-2</v>
      </c>
      <c r="J6" s="10">
        <f t="shared" si="1"/>
        <v>4.3060781812819873E-2</v>
      </c>
      <c r="K6" s="10">
        <f t="shared" si="1"/>
        <v>1.5320025675641944E-3</v>
      </c>
      <c r="L6" s="10">
        <f t="shared" si="1"/>
        <v>1.7794988689097006E-2</v>
      </c>
    </row>
    <row r="7" spans="1:12" ht="20.25" customHeight="1" x14ac:dyDescent="0.25">
      <c r="A7" s="7" t="s">
        <v>70</v>
      </c>
      <c r="B7" s="9">
        <v>6.3496059750411282E-2</v>
      </c>
      <c r="C7" s="9">
        <v>4.6071629863988765E-2</v>
      </c>
      <c r="D7" s="9">
        <v>2.306247051322625E-3</v>
      </c>
      <c r="E7" s="9">
        <v>3.8927934093844286E-3</v>
      </c>
      <c r="F7" s="9">
        <v>0.11576673007510711</v>
      </c>
      <c r="H7" t="str">
        <f t="shared" si="2"/>
        <v>Partner App</v>
      </c>
      <c r="I7" s="10">
        <f t="shared" si="1"/>
        <v>6.3496059750411282E-2</v>
      </c>
      <c r="J7" s="10">
        <f t="shared" si="1"/>
        <v>4.6071629863988765E-2</v>
      </c>
      <c r="K7" s="10">
        <f t="shared" si="1"/>
        <v>2.306247051322625E-3</v>
      </c>
      <c r="L7" s="10">
        <f t="shared" si="1"/>
        <v>3.8927934093844286E-3</v>
      </c>
    </row>
    <row r="8" spans="1:12" ht="20.25" customHeight="1" x14ac:dyDescent="0.25">
      <c r="A8" s="7" t="s">
        <v>40</v>
      </c>
      <c r="B8" s="9">
        <v>9.6337892927149532E-2</v>
      </c>
      <c r="C8" s="9">
        <v>6.7920115842382611E-2</v>
      </c>
      <c r="D8" s="9">
        <v>5.4979832664581261E-3</v>
      </c>
      <c r="E8" s="9">
        <v>1.2933041488102518E-2</v>
      </c>
      <c r="F8" s="9">
        <v>0.1826890335240928</v>
      </c>
      <c r="H8" t="str">
        <f t="shared" si="2"/>
        <v>Target.com</v>
      </c>
      <c r="I8" s="10">
        <f t="shared" si="1"/>
        <v>9.6337892927149532E-2</v>
      </c>
      <c r="J8" s="10">
        <f t="shared" si="1"/>
        <v>6.7920115842382611E-2</v>
      </c>
      <c r="K8" s="10">
        <f t="shared" si="1"/>
        <v>5.4979832664581261E-3</v>
      </c>
      <c r="L8" s="10">
        <f t="shared" si="1"/>
        <v>1.2933041488102518E-2</v>
      </c>
    </row>
    <row r="9" spans="1:12" ht="20.25" customHeight="1" x14ac:dyDescent="0.25">
      <c r="A9" s="7" t="s">
        <v>35</v>
      </c>
      <c r="B9" s="9">
        <v>0.12522098709469262</v>
      </c>
      <c r="C9" s="9">
        <v>9.1492740283116228E-2</v>
      </c>
      <c r="D9" s="9">
        <v>6.3042760790965081E-3</v>
      </c>
      <c r="E9" s="9">
        <v>1.2408404181197551E-2</v>
      </c>
      <c r="F9" s="9">
        <v>0.23542640763810288</v>
      </c>
      <c r="H9" s="11" t="str">
        <f t="shared" si="2"/>
        <v>Website</v>
      </c>
      <c r="I9" s="12">
        <f t="shared" si="1"/>
        <v>0.12522098709469262</v>
      </c>
      <c r="J9" s="12">
        <f t="shared" si="1"/>
        <v>9.1492740283116228E-2</v>
      </c>
      <c r="K9" s="12">
        <f t="shared" si="1"/>
        <v>6.3042760790965081E-3</v>
      </c>
      <c r="L9" s="12">
        <f t="shared" si="1"/>
        <v>1.2408404181197551E-2</v>
      </c>
    </row>
    <row r="10" spans="1:12" x14ac:dyDescent="0.25">
      <c r="A10" s="7" t="s">
        <v>2530</v>
      </c>
      <c r="B10" s="9">
        <v>0.52495717387974916</v>
      </c>
      <c r="C10" s="9">
        <v>0.3711684913156732</v>
      </c>
      <c r="D10" s="9">
        <v>2.6245886489133303E-2</v>
      </c>
      <c r="E10" s="9">
        <v>7.7628448315444312E-2</v>
      </c>
      <c r="F10" s="9">
        <v>1</v>
      </c>
    </row>
  </sheetData>
  <conditionalFormatting sqref="I5:L9">
    <cfRule type="colorScale" priority="2">
      <colorScale>
        <cfvo type="min"/>
        <cfvo type="percentile" val="50"/>
        <cfvo type="max"/>
        <color rgb="FFF8696B"/>
        <color rgb="FFFCFCFF"/>
        <color rgb="FF5A8AC6"/>
      </colorScale>
    </cfRule>
  </conditionalFormatting>
  <conditionalFormatting sqref="H4: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zoomScale="87" zoomScaleNormal="87" workbookViewId="0">
      <selection activeCell="AA21" sqref="AA21"/>
    </sheetView>
  </sheetViews>
  <sheetFormatPr defaultRowHeight="15" x14ac:dyDescent="0.25"/>
  <cols>
    <col min="1" max="1" width="3.28515625" customWidth="1"/>
    <col min="2" max="2" width="22.28515625" customWidth="1"/>
    <col min="3" max="4" width="3.28515625" customWidth="1"/>
    <col min="26" max="26" width="3.285156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Questions &amp; KPIs</vt:lpstr>
      <vt:lpstr>pivots</vt:lpstr>
      <vt:lpstr>pivots1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ishu</cp:lastModifiedBy>
  <dcterms:created xsi:type="dcterms:W3CDTF">2025-06-13T02:42:26Z</dcterms:created>
  <dcterms:modified xsi:type="dcterms:W3CDTF">2026-04-01T11:00:09Z</dcterms:modified>
</cp:coreProperties>
</file>